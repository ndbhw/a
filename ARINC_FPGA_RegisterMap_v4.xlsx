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binhn\Temp\test_fpga\prj\ARINC\vivado_hdl_ARINC\"/>
    </mc:Choice>
  </mc:AlternateContent>
  <xr:revisionPtr revIDLastSave="0" documentId="13_ncr:1_{A52FB760-02A8-4D39-BC3C-8A1DB96C29E4}" xr6:coauthVersionLast="47" xr6:coauthVersionMax="47" xr10:uidLastSave="{00000000-0000-0000-0000-000000000000}"/>
  <bookViews>
    <workbookView xWindow="585" yWindow="2820" windowWidth="21600" windowHeight="11190" activeTab="3" xr2:uid="{00000000-000D-0000-FFFF-FFFF00000000}"/>
  </bookViews>
  <sheets>
    <sheet name="Revision_History" sheetId="1" r:id="rId1"/>
    <sheet name="Memory_Map" sheetId="2" r:id="rId2"/>
    <sheet name="Module_Address_Usage" sheetId="3" r:id="rId3"/>
    <sheet name="SYSCTRL" sheetId="4" r:id="rId4"/>
    <sheet name="MISC" sheetId="5" r:id="rId5"/>
    <sheet name="ARINC_717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6" l="1"/>
  <c r="R192" i="6"/>
  <c r="O192" i="6"/>
  <c r="N192" i="6"/>
  <c r="N188" i="6"/>
  <c r="O190" i="6" s="1"/>
  <c r="N184" i="6"/>
  <c r="O186" i="6" s="1"/>
  <c r="N180" i="6"/>
  <c r="O183" i="6" s="1"/>
  <c r="R179" i="6"/>
  <c r="O179" i="6"/>
  <c r="N179" i="6"/>
  <c r="N175" i="6"/>
  <c r="O178" i="6" s="1"/>
  <c r="N171" i="6"/>
  <c r="O172" i="6" s="1"/>
  <c r="N167" i="6"/>
  <c r="O170" i="6" s="1"/>
  <c r="R166" i="6"/>
  <c r="O166" i="6"/>
  <c r="N166" i="6"/>
  <c r="N162" i="6"/>
  <c r="O162" i="6" s="1"/>
  <c r="N158" i="6"/>
  <c r="O160" i="6" s="1"/>
  <c r="N154" i="6"/>
  <c r="O157" i="6" s="1"/>
  <c r="O153" i="6"/>
  <c r="O152" i="6"/>
  <c r="O150" i="6"/>
  <c r="N150" i="6"/>
  <c r="O151" i="6" s="1"/>
  <c r="N146" i="6"/>
  <c r="O149" i="6" s="1"/>
  <c r="N142" i="6"/>
  <c r="O145" i="6" s="1"/>
  <c r="O140" i="6"/>
  <c r="O138" i="6"/>
  <c r="N138" i="6"/>
  <c r="R138" i="6" s="1"/>
  <c r="N134" i="6"/>
  <c r="O137" i="6" s="1"/>
  <c r="O133" i="6"/>
  <c r="R130" i="6"/>
  <c r="N130" i="6"/>
  <c r="O130" i="6" s="1"/>
  <c r="O126" i="6"/>
  <c r="N126" i="6"/>
  <c r="O128" i="6" s="1"/>
  <c r="R125" i="6"/>
  <c r="O125" i="6"/>
  <c r="N125" i="6"/>
  <c r="N121" i="6"/>
  <c r="O122" i="6" s="1"/>
  <c r="O120" i="6"/>
  <c r="O119" i="6"/>
  <c r="R117" i="6"/>
  <c r="O117" i="6"/>
  <c r="N117" i="6"/>
  <c r="O118" i="6" s="1"/>
  <c r="N113" i="6"/>
  <c r="O116" i="6" s="1"/>
  <c r="N109" i="6"/>
  <c r="R109" i="6" s="1"/>
  <c r="N105" i="6"/>
  <c r="O108" i="6" s="1"/>
  <c r="O103" i="6"/>
  <c r="O102" i="6"/>
  <c r="N101" i="6"/>
  <c r="O101" i="6" s="1"/>
  <c r="N97" i="6"/>
  <c r="O99" i="6" s="1"/>
  <c r="N93" i="6"/>
  <c r="O96" i="6" s="1"/>
  <c r="N89" i="6"/>
  <c r="O90" i="6" s="1"/>
  <c r="O88" i="6"/>
  <c r="R85" i="6"/>
  <c r="O85" i="6"/>
  <c r="N85" i="6"/>
  <c r="O86" i="6" s="1"/>
  <c r="N81" i="6"/>
  <c r="O84" i="6" s="1"/>
  <c r="N77" i="6"/>
  <c r="R77" i="6" s="1"/>
  <c r="R76" i="6"/>
  <c r="O76" i="6"/>
  <c r="N76" i="6"/>
  <c r="N72" i="6"/>
  <c r="O75" i="6" s="1"/>
  <c r="O71" i="6"/>
  <c r="N68" i="6"/>
  <c r="O68" i="6" s="1"/>
  <c r="N64" i="6"/>
  <c r="O67" i="6" s="1"/>
  <c r="R63" i="6"/>
  <c r="O63" i="6"/>
  <c r="N63" i="6"/>
  <c r="N59" i="6"/>
  <c r="O60" i="6" s="1"/>
  <c r="O57" i="6"/>
  <c r="N55" i="6"/>
  <c r="O58" i="6" s="1"/>
  <c r="N51" i="6"/>
  <c r="O53" i="6" s="1"/>
  <c r="N47" i="6"/>
  <c r="R47" i="6" s="1"/>
  <c r="N43" i="6"/>
  <c r="O46" i="6" s="1"/>
  <c r="N39" i="6"/>
  <c r="O39" i="6" s="1"/>
  <c r="R35" i="6"/>
  <c r="N35" i="6"/>
  <c r="O37" i="6" s="1"/>
  <c r="R34" i="6"/>
  <c r="O34" i="6"/>
  <c r="N34" i="6"/>
  <c r="N30" i="6"/>
  <c r="O30" i="6" s="1"/>
  <c r="R26" i="6"/>
  <c r="O26" i="6"/>
  <c r="N26" i="6"/>
  <c r="O27" i="6" s="1"/>
  <c r="R25" i="6"/>
  <c r="O25" i="6"/>
  <c r="N25" i="6"/>
  <c r="N21" i="6"/>
  <c r="O21" i="6" s="1"/>
  <c r="N17" i="6"/>
  <c r="R17" i="6" s="1"/>
  <c r="O15" i="6"/>
  <c r="O14" i="6"/>
  <c r="N13" i="6"/>
  <c r="O16" i="6" s="1"/>
  <c r="N9" i="6"/>
  <c r="O9" i="6" s="1"/>
  <c r="N1" i="6"/>
  <c r="N79" i="5"/>
  <c r="O81" i="5" s="1"/>
  <c r="N67" i="5"/>
  <c r="O70" i="5" s="1"/>
  <c r="O58" i="5"/>
  <c r="N46" i="5"/>
  <c r="O48" i="5" s="1"/>
  <c r="N9" i="5"/>
  <c r="O10" i="5" s="1"/>
  <c r="N1" i="5"/>
  <c r="R25" i="4"/>
  <c r="O25" i="4"/>
  <c r="N25" i="4"/>
  <c r="N21" i="4"/>
  <c r="O22" i="4" s="1"/>
  <c r="N17" i="4"/>
  <c r="O20" i="4" s="1"/>
  <c r="N13" i="4"/>
  <c r="O13" i="4" s="1"/>
  <c r="N9" i="4"/>
  <c r="O10" i="4" s="1"/>
  <c r="N1" i="4"/>
  <c r="B23" i="3"/>
  <c r="H20" i="3"/>
  <c r="J20" i="3" s="1"/>
  <c r="G20" i="3"/>
  <c r="I20" i="3" s="1"/>
  <c r="E20" i="3"/>
  <c r="B17" i="3"/>
  <c r="B9" i="3"/>
  <c r="H6" i="3"/>
  <c r="J6" i="3" s="1"/>
  <c r="G6" i="3"/>
  <c r="I6" i="3" s="1"/>
  <c r="H5" i="3"/>
  <c r="J5" i="3" s="1"/>
  <c r="N13" i="5"/>
  <c r="H4" i="3"/>
  <c r="J4" i="3" s="1"/>
  <c r="G4" i="3"/>
  <c r="I4" i="3" s="1"/>
  <c r="L5" i="4" s="1"/>
  <c r="E4" i="3"/>
  <c r="B1" i="3"/>
  <c r="O143" i="6" l="1"/>
  <c r="O158" i="6"/>
  <c r="O23" i="4"/>
  <c r="O10" i="6"/>
  <c r="R30" i="6"/>
  <c r="O64" i="6"/>
  <c r="O87" i="6"/>
  <c r="O104" i="6"/>
  <c r="O144" i="6"/>
  <c r="R158" i="6"/>
  <c r="O180" i="6"/>
  <c r="O21" i="4"/>
  <c r="O45" i="6"/>
  <c r="O24" i="4"/>
  <c r="O11" i="6"/>
  <c r="O31" i="6"/>
  <c r="R64" i="6"/>
  <c r="O159" i="6"/>
  <c r="R180" i="6"/>
  <c r="R17" i="4"/>
  <c r="O12" i="6"/>
  <c r="O32" i="6"/>
  <c r="O65" i="6"/>
  <c r="R126" i="6"/>
  <c r="O161" i="6"/>
  <c r="O181" i="6"/>
  <c r="O17" i="4"/>
  <c r="O33" i="6"/>
  <c r="O55" i="6"/>
  <c r="O66" i="6"/>
  <c r="O89" i="6"/>
  <c r="O127" i="6"/>
  <c r="O182" i="6"/>
  <c r="R55" i="6"/>
  <c r="O91" i="6"/>
  <c r="O129" i="6"/>
  <c r="R150" i="6"/>
  <c r="R162" i="6"/>
  <c r="R9" i="6"/>
  <c r="O56" i="6"/>
  <c r="O92" i="6"/>
  <c r="O165" i="6"/>
  <c r="O184" i="6"/>
  <c r="N17" i="5"/>
  <c r="O19" i="5" s="1"/>
  <c r="O93" i="6"/>
  <c r="R184" i="6"/>
  <c r="O185" i="6"/>
  <c r="O59" i="6"/>
  <c r="R97" i="6"/>
  <c r="O154" i="6"/>
  <c r="O187" i="6"/>
  <c r="O98" i="6"/>
  <c r="O121" i="6"/>
  <c r="R154" i="6"/>
  <c r="R39" i="6"/>
  <c r="O61" i="6"/>
  <c r="O18" i="4"/>
  <c r="N71" i="5"/>
  <c r="O74" i="5" s="1"/>
  <c r="O40" i="6"/>
  <c r="O62" i="6"/>
  <c r="O100" i="6"/>
  <c r="O123" i="6"/>
  <c r="O139" i="6"/>
  <c r="O155" i="6"/>
  <c r="O191" i="6"/>
  <c r="O19" i="4"/>
  <c r="O41" i="6"/>
  <c r="O124" i="6"/>
  <c r="O156" i="6"/>
  <c r="O42" i="6"/>
  <c r="R101" i="6"/>
  <c r="O141" i="6"/>
  <c r="O14" i="5"/>
  <c r="O15" i="5"/>
  <c r="O16" i="5"/>
  <c r="R13" i="5"/>
  <c r="O13" i="5"/>
  <c r="O14" i="4"/>
  <c r="E6" i="3"/>
  <c r="O9" i="4"/>
  <c r="O11" i="5"/>
  <c r="N63" i="5"/>
  <c r="R83" i="5"/>
  <c r="R33" i="5"/>
  <c r="N75" i="5"/>
  <c r="O18" i="6"/>
  <c r="O28" i="6"/>
  <c r="O38" i="6"/>
  <c r="O48" i="6"/>
  <c r="R68" i="6"/>
  <c r="O78" i="6"/>
  <c r="O110" i="6"/>
  <c r="O11" i="4"/>
  <c r="R21" i="4"/>
  <c r="N34" i="5"/>
  <c r="O19" i="6"/>
  <c r="O29" i="6"/>
  <c r="O49" i="6"/>
  <c r="R59" i="6"/>
  <c r="O69" i="6"/>
  <c r="O79" i="6"/>
  <c r="R89" i="6"/>
  <c r="O111" i="6"/>
  <c r="R121" i="6"/>
  <c r="O131" i="6"/>
  <c r="O142" i="6"/>
  <c r="O163" i="6"/>
  <c r="O173" i="6"/>
  <c r="O12" i="4"/>
  <c r="N25" i="5"/>
  <c r="O20" i="6"/>
  <c r="O50" i="6"/>
  <c r="O70" i="6"/>
  <c r="O80" i="6"/>
  <c r="O112" i="6"/>
  <c r="O132" i="6"/>
  <c r="R142" i="6"/>
  <c r="O164" i="6"/>
  <c r="O174" i="6"/>
  <c r="O81" i="6"/>
  <c r="O113" i="6"/>
  <c r="O175" i="6"/>
  <c r="O46" i="5"/>
  <c r="O51" i="6"/>
  <c r="R13" i="4"/>
  <c r="R46" i="5"/>
  <c r="N58" i="5"/>
  <c r="O67" i="5"/>
  <c r="R21" i="6"/>
  <c r="R51" i="6"/>
  <c r="O72" i="6"/>
  <c r="R81" i="6"/>
  <c r="R113" i="6"/>
  <c r="O134" i="6"/>
  <c r="R175" i="6"/>
  <c r="O52" i="6"/>
  <c r="R72" i="6"/>
  <c r="O82" i="6"/>
  <c r="O114" i="6"/>
  <c r="R134" i="6"/>
  <c r="O176" i="6"/>
  <c r="R67" i="5"/>
  <c r="O15" i="4"/>
  <c r="O135" i="6"/>
  <c r="O146" i="6"/>
  <c r="O177" i="6"/>
  <c r="O47" i="5"/>
  <c r="O22" i="6"/>
  <c r="O73" i="6"/>
  <c r="O83" i="6"/>
  <c r="R93" i="6"/>
  <c r="O115" i="6"/>
  <c r="E5" i="3"/>
  <c r="O16" i="4"/>
  <c r="R17" i="5"/>
  <c r="N29" i="5"/>
  <c r="O49" i="5"/>
  <c r="N59" i="5"/>
  <c r="O69" i="5"/>
  <c r="R79" i="5"/>
  <c r="O13" i="6"/>
  <c r="O24" i="6"/>
  <c r="O43" i="6"/>
  <c r="O54" i="6"/>
  <c r="O74" i="6"/>
  <c r="O94" i="6"/>
  <c r="O105" i="6"/>
  <c r="O136" i="6"/>
  <c r="R146" i="6"/>
  <c r="O167" i="6"/>
  <c r="O17" i="5"/>
  <c r="N38" i="5"/>
  <c r="R58" i="5"/>
  <c r="O68" i="5"/>
  <c r="O79" i="5"/>
  <c r="O23" i="6"/>
  <c r="G5" i="3"/>
  <c r="I5" i="3" s="1"/>
  <c r="L5" i="5" s="1"/>
  <c r="N50" i="5"/>
  <c r="O80" i="5"/>
  <c r="R13" i="6"/>
  <c r="R43" i="6"/>
  <c r="O95" i="6"/>
  <c r="R105" i="6"/>
  <c r="O147" i="6"/>
  <c r="R167" i="6"/>
  <c r="O188" i="6"/>
  <c r="O44" i="6"/>
  <c r="O106" i="6"/>
  <c r="O148" i="6"/>
  <c r="O168" i="6"/>
  <c r="R188" i="6"/>
  <c r="O107" i="6"/>
  <c r="O169" i="6"/>
  <c r="O189" i="6"/>
  <c r="O9" i="5"/>
  <c r="O20" i="5"/>
  <c r="O71" i="5"/>
  <c r="O82" i="5"/>
  <c r="R9" i="5"/>
  <c r="N21" i="5"/>
  <c r="R71" i="5"/>
  <c r="N83" i="5"/>
  <c r="O35" i="6"/>
  <c r="O97" i="6"/>
  <c r="N42" i="5"/>
  <c r="O72" i="5"/>
  <c r="O83" i="5"/>
  <c r="N33" i="5"/>
  <c r="O73" i="5"/>
  <c r="O17" i="6"/>
  <c r="O77" i="6"/>
  <c r="O109" i="6"/>
  <c r="O171" i="6"/>
  <c r="O36" i="6"/>
  <c r="O47" i="6"/>
  <c r="R9" i="4"/>
  <c r="O12" i="5"/>
  <c r="O33" i="5"/>
  <c r="N54" i="5"/>
  <c r="R171" i="6"/>
  <c r="O18" i="5" l="1"/>
  <c r="O78" i="5"/>
  <c r="R75" i="5"/>
  <c r="O75" i="5"/>
  <c r="O76" i="5"/>
  <c r="O77" i="5"/>
  <c r="O63" i="5"/>
  <c r="O65" i="5"/>
  <c r="O64" i="5"/>
  <c r="R63" i="5"/>
  <c r="O66" i="5"/>
  <c r="O52" i="5"/>
  <c r="O50" i="5"/>
  <c r="O51" i="5"/>
  <c r="R50" i="5"/>
  <c r="O53" i="5"/>
  <c r="R42" i="5"/>
  <c r="O45" i="5"/>
  <c r="O44" i="5"/>
  <c r="O43" i="5"/>
  <c r="O42" i="5"/>
  <c r="O37" i="5"/>
  <c r="O35" i="5"/>
  <c r="R34" i="5"/>
  <c r="O36" i="5"/>
  <c r="O34" i="5"/>
  <c r="O62" i="5"/>
  <c r="R59" i="5"/>
  <c r="O61" i="5"/>
  <c r="O60" i="5"/>
  <c r="O59" i="5"/>
  <c r="O28" i="5"/>
  <c r="O27" i="5"/>
  <c r="O26" i="5"/>
  <c r="O25" i="5"/>
  <c r="R25" i="5"/>
  <c r="O39" i="5"/>
  <c r="O41" i="5"/>
  <c r="O40" i="5"/>
  <c r="R38" i="5"/>
  <c r="O38" i="5"/>
  <c r="O32" i="5"/>
  <c r="R29" i="5"/>
  <c r="O31" i="5"/>
  <c r="O30" i="5"/>
  <c r="O29" i="5"/>
  <c r="O57" i="5"/>
  <c r="O55" i="5"/>
  <c r="R54" i="5"/>
  <c r="O54" i="5"/>
  <c r="O56" i="5"/>
  <c r="O22" i="5"/>
  <c r="O24" i="5"/>
  <c r="O23" i="5"/>
  <c r="R21" i="5"/>
  <c r="O21" i="5"/>
</calcChain>
</file>

<file path=xl/sharedStrings.xml><?xml version="1.0" encoding="utf-8"?>
<sst xmlns="http://schemas.openxmlformats.org/spreadsheetml/2006/main" count="1533" uniqueCount="519">
  <si>
    <t>ARINC FPGA (SYSTEM_TOP) Register Map</t>
  </si>
  <si>
    <t>No.</t>
  </si>
  <si>
    <t>Date</t>
  </si>
  <si>
    <t>Author</t>
  </si>
  <si>
    <t>Modification Details</t>
  </si>
  <si>
    <t>2026.10.24</t>
  </si>
  <si>
    <t>1. ARINC (Zynq-7000, SYSTEM_TOP) PS memory map - PL slaves</t>
  </si>
  <si>
    <t>Device</t>
  </si>
  <si>
    <t>Start Address</t>
  </si>
  <si>
    <t>Size</t>
  </si>
  <si>
    <t>Address region</t>
  </si>
  <si>
    <t>Description</t>
  </si>
  <si>
    <t>axi_lite_PL_0
(M00 of PS7 interconnect)</t>
  </si>
  <si>
    <t>0x4000_0000</t>
  </si>
  <si>
    <t>1MB</t>
  </si>
  <si>
    <t>0x4000_0000 ~ 0x400F_FFFF</t>
  </si>
  <si>
    <t>Register CPU bus: axi_lite_PL -&gt; CPUIF_TOP -&gt; SYSCTRL_TOP / MISC_TOP
(see Module_Address_Usage)</t>
  </si>
  <si>
    <t>M01_AXI_0
(DUT_test_wrapper)</t>
  </si>
  <si>
    <t>0x5000_0000</t>
  </si>
  <si>
    <t>128KB</t>
  </si>
  <si>
    <t>0x5000_0000 ~ 0x5001_FFFF</t>
  </si>
  <si>
    <t>DUT_test: axi_clock_converter -&gt; axi_bram_ctrl -&gt; blk_mem_gen (memory, no registers)</t>
  </si>
  <si>
    <t>DUT_ARINC_717
(Core717 AXI4-Lite)</t>
  </si>
  <si>
    <t>0x6000_0000</t>
  </si>
  <si>
    <t>1KB</t>
  </si>
  <si>
    <t>0x6000_0000 ~ 0x6000_03FF</t>
  </si>
  <si>
    <t>ARINC 717 core (Core717): registers + TX/RX data ports in 0x000 ~ 0x14F, 0x150 ~ 0x3FF outside the core window (SLVERR)
(see Module_Address_Usage, ARINC_717)</t>
  </si>
  <si>
    <t>PS Base Address</t>
  </si>
  <si>
    <t>0x40000000</t>
  </si>
  <si>
    <t>Module
Name</t>
  </si>
  <si>
    <t>Word Start</t>
  </si>
  <si>
    <t>Word End</t>
  </si>
  <si>
    <t>Size(Byte)</t>
  </si>
  <si>
    <t>Usage</t>
  </si>
  <si>
    <t>Byte Start</t>
  </si>
  <si>
    <t>Byte End</t>
  </si>
  <si>
    <t>PS Byte Start</t>
  </si>
  <si>
    <t>PS Byte End</t>
  </si>
  <si>
    <t>Source</t>
  </si>
  <si>
    <t>SYSCTRL</t>
  </si>
  <si>
    <t>0x00000</t>
  </si>
  <si>
    <t>0x0007F</t>
  </si>
  <si>
    <t>O</t>
  </si>
  <si>
    <t>SYSCTRL/SYSCTRL_TOP.v, CPUIF_SYSCTRL.v</t>
  </si>
  <si>
    <t>MISC</t>
  </si>
  <si>
    <t>0x000FF</t>
  </si>
  <si>
    <t>MISC/MISC_TOP.v, CPUIF_MISC.v</t>
  </si>
  <si>
    <t>Reserved</t>
  </si>
  <si>
    <t>0x3FFFF</t>
  </si>
  <si>
    <t>X</t>
  </si>
  <si>
    <t>Write ignored, read returns 0</t>
  </si>
  <si>
    <t>Bus access notes (axi_lite_PL / CPUIF_TOP):</t>
  </si>
  <si>
    <t>* 32-bit access only: WSTRB is ignored, response is always OKAY.</t>
  </si>
  <si>
    <t>* Ack comes C_ACK_DLY (=15) FCLK_CLK0 clocks after the rising edge of rd/wr.</t>
  </si>
  <si>
    <t>* Local address in each module = word address - module base (starts from 0x00).</t>
  </si>
  <si>
    <t>* Read of an address outside SYSCTRL/MISC returns 0x0000_0000 (no RDVAL); write is ignored.</t>
  </si>
  <si>
    <t>* Type: RW = read/write, RO = read only, X = unused byte lane (reads 0).</t>
  </si>
  <si>
    <t>* Usage: O = bits used in this byte lane, X = byte lane unused.</t>
  </si>
  <si>
    <t>0x60000000</t>
  </si>
  <si>
    <t>DUT_ARINC_717</t>
  </si>
  <si>
    <t>Core717_ARINC717_AXI_Lite_Spec rev1.85, Section 7</t>
  </si>
  <si>
    <t>Bus access notes (DUT_ARINC_717 / Core717 AXI4-Lite slave):</t>
  </si>
  <si>
    <t>* Word address = core byte offset / 4 (32-bit registers). Local address in DUT_ARINC_717 = word address - module base (starts from 0x00).</t>
  </si>
  <si>
    <t>* Reserved byte address 0x0000 ~ 0x014F: write ignored, read returns 0, response OKAY. 0x0150 ~ 0x03FF (outside core decode): response SLVERR.</t>
  </si>
  <si>
    <t>* Type (sheet ARINC_717): RW = read/write, RO = read only, WO = write only, X = unused byte lane (reads 0).</t>
  </si>
  <si>
    <t>Offset Word
Address</t>
  </si>
  <si>
    <t>Type</t>
  </si>
  <si>
    <t>Register Name</t>
  </si>
  <si>
    <t>Bit[31]</t>
  </si>
  <si>
    <t>Bit[30]</t>
  </si>
  <si>
    <t>Bit[29]</t>
  </si>
  <si>
    <t>Bit[28]</t>
  </si>
  <si>
    <t>Bit[27]</t>
  </si>
  <si>
    <t>Bit[26]</t>
  </si>
  <si>
    <t>Bit[25]</t>
  </si>
  <si>
    <t>Bit[24]</t>
  </si>
  <si>
    <t>Field Description</t>
  </si>
  <si>
    <t>Value Description</t>
  </si>
  <si>
    <t>Bit[23]</t>
  </si>
  <si>
    <t>Bit[22]</t>
  </si>
  <si>
    <t>Bit[21]</t>
  </si>
  <si>
    <t>Bit[20]</t>
  </si>
  <si>
    <t>Bit[19]</t>
  </si>
  <si>
    <t>Bit[18]</t>
  </si>
  <si>
    <t>Bit[17]</t>
  </si>
  <si>
    <t>Bit[16]</t>
  </si>
  <si>
    <t>Bit[15]</t>
  </si>
  <si>
    <t>Bit[14]</t>
  </si>
  <si>
    <t>Bit[13]</t>
  </si>
  <si>
    <t>Bit[12]</t>
  </si>
  <si>
    <t>Bit[11]</t>
  </si>
  <si>
    <t>Bit[10]</t>
  </si>
  <si>
    <t>Bit[9]</t>
  </si>
  <si>
    <t>Bit[8]</t>
  </si>
  <si>
    <t>Address</t>
  </si>
  <si>
    <t>Initial
Value</t>
  </si>
  <si>
    <t>PS (AXI)
Byte Address</t>
  </si>
  <si>
    <t>Bit[7]</t>
  </si>
  <si>
    <t>Bit[6]</t>
  </si>
  <si>
    <t>Bit[5]</t>
  </si>
  <si>
    <t>Bit[4]</t>
  </si>
  <si>
    <t>Bit[3]</t>
  </si>
  <si>
    <t>Bit[2]</t>
  </si>
  <si>
    <t>Bit[1]</t>
  </si>
  <si>
    <t>Bit[0]</t>
  </si>
  <si>
    <t>Word</t>
  </si>
  <si>
    <t>Byte</t>
  </si>
  <si>
    <t>SYSCTRL Module (SYSCTRL_TOP / CPUIF_SYSCTRL)</t>
  </si>
  <si>
    <t>CLOCK_WIZ_RST</t>
  </si>
  <si>
    <t>CLOCK_WIZ_RST: clock_wiz_0 reset
(clock_wiz_0.resetn = ~CLOCK_WIZ_RST)
Clock: CLK_CPUIF (FCLK_CLK0)</t>
  </si>
  <si>
    <t>0b0: release
0b1: reset (default)
CLK_OUT1/CLK_OUT2 run only after SW writes 0b0</t>
  </si>
  <si>
    <t>-</t>
  </si>
  <si>
    <t>RW</t>
  </si>
  <si>
    <t>0x01</t>
  </si>
  <si>
    <t>0x00001</t>
  </si>
  <si>
    <t>0b0: release
0b1: reset (default)</t>
  </si>
  <si>
    <t>0x00002</t>
  </si>
  <si>
    <t>0x00003</t>
  </si>
  <si>
    <t>RO</t>
  </si>
  <si>
    <t>0x00004
~ 0x0007F</t>
  </si>
  <si>
    <t>Write ignored, read returns 0x0000_0000</t>
  </si>
  <si>
    <t>MISC Module (MISC_TOP / CPUIF_MISC)</t>
  </si>
  <si>
    <t>PORT_IN_CLK_CPU_0</t>
  </si>
  <si>
    <t>PORT_IN_CLK_CPU_0[3:0]: port_in_clk_cpu_0 input
Asynchronous, 2-FF sync to CLK_CPUIF</t>
  </si>
  <si>
    <t>Input level of port_in_clk_cpu_0[3:0]
(SYSTEM_TOP: w_port_in_clk_cpu_0 not connected yet - TODO)</t>
  </si>
  <si>
    <t>PORT_IN_CLK_CPU_0[3:0]</t>
  </si>
  <si>
    <t>PORT_IN_CLK_CPU_1</t>
  </si>
  <si>
    <t>PORT_IN_CLK_CPU_1[3:0]: port_in_clk_cpu_1 input
Asynchronous, 2-FF sync to CLK_CPUIF</t>
  </si>
  <si>
    <t>Input level of port_in_clk_cpu_1[3:0]
(SYSTEM_TOP: w_port_in_clk_cpu_1 not connected yet - TODO)</t>
  </si>
  <si>
    <t>PORT_IN_CLK_CPU_1[3:0]</t>
  </si>
  <si>
    <t>PORT_IN_CLK_CPU_2</t>
  </si>
  <si>
    <t>PORT_IN_CLK_CPU_2[3:0]: port_in_clk_cpu_2 input
Asynchronous, 2-FF sync to CLK_CPUIF</t>
  </si>
  <si>
    <t>Input level of port_in_clk_cpu_2[3:0]
(SYSTEM_TOP: w_port_in_clk_cpu_2 not connected yet - TODO)</t>
  </si>
  <si>
    <t>PORT_IN_CLK_CPU_2[3:0]</t>
  </si>
  <si>
    <t>PORT_OUT_CLK_CPU_0</t>
  </si>
  <si>
    <t>PORT_OUT_CLK_CPU_0[3:0]: port_out_clk_cpu_0 output
Clock: CLK_CPUIF</t>
  </si>
  <si>
    <t>Value driven on port_out_clk_cpu_0[3:0]
Default 0x0</t>
  </si>
  <si>
    <t>PORT_OUT_CLK_CPU_0[3:0]</t>
  </si>
  <si>
    <t>0x00</t>
  </si>
  <si>
    <t>0x00004</t>
  </si>
  <si>
    <t>PORT_OUT_CLK_CPU_1</t>
  </si>
  <si>
    <t>PORT_OUT_CLK_CPU_1[3:0]: port_out_clk_cpu_1 output
Clock: CLK_CPUIF</t>
  </si>
  <si>
    <t>Value driven on port_out_clk_cpu_1[3:0]
Default 0x0</t>
  </si>
  <si>
    <t>PORT_OUT_CLK_CPU_1[3:0]</t>
  </si>
  <si>
    <t>0x00005</t>
  </si>
  <si>
    <t>PORT_OUT_CLK_CPU_2</t>
  </si>
  <si>
    <t>PORT_OUT_CLK_CPU_2[3:0]: port_out_clk_cpu_2 output
Clock: CLK_CPUIF</t>
  </si>
  <si>
    <t>Value driven on port_out_clk_cpu_2[3:0]
Default 0x0</t>
  </si>
  <si>
    <t>PORT_OUT_CLK_CPU_2[3:0]</t>
  </si>
  <si>
    <t>0x00006
~ 0x0000F</t>
  </si>
  <si>
    <t>0x00010</t>
  </si>
  <si>
    <t>PORT_IN_CLK_OUT1_0</t>
  </si>
  <si>
    <t>PORT_IN_CLK_OUT1_0[3:0]: port_in_clk_out1_0 input
Registered in CLK_OUT1 (48 MHz), 2-FF sync to CLK_CPUIF</t>
  </si>
  <si>
    <t>Input level of port_in_clk_out1_0[3:0]
(SYSTEM_TOP: w_port_in_clk_out1_0 not connected yet - TODO)</t>
  </si>
  <si>
    <t>PORT_IN_CLK_OUT1_0[3:0]</t>
  </si>
  <si>
    <t>0x00011</t>
  </si>
  <si>
    <t>PORT_IN_CLK_OUT1_1</t>
  </si>
  <si>
    <t>PORT_IN_CLK_OUT1_1[3:0]: port_in_clk_out1_1 input
Registered in CLK_OUT1 (48 MHz), 2-FF sync to CLK_CPUIF</t>
  </si>
  <si>
    <t>Input level of port_in_clk_out1_1[3:0]
(SYSTEM_TOP: w_port_in_clk_out1_1 not connected yet - TODO)</t>
  </si>
  <si>
    <t>PORT_IN_CLK_OUT1_1[3:0]</t>
  </si>
  <si>
    <t>0x00012</t>
  </si>
  <si>
    <t>PORT_IN_CLK_OUT1_2</t>
  </si>
  <si>
    <t>PORT_IN_CLK_OUT1_2[3:0]: port_in_clk_out1_2 input
Registered in CLK_OUT1 (48 MHz), 2-FF sync to CLK_CPUIF</t>
  </si>
  <si>
    <t>Input level of port_in_clk_out1_2[3:0]
(SYSTEM_TOP: w_port_in_clk_out1_2 not connected yet - TODO)</t>
  </si>
  <si>
    <t>PORT_IN_CLK_OUT1_2[3:0]</t>
  </si>
  <si>
    <t>0x00013</t>
  </si>
  <si>
    <t>PORT_OUT_CLK_OUT1_0</t>
  </si>
  <si>
    <t>PORT_OUT_CLK_OUT1_0[3:0]: port_out_clk_out1_0 output
Written in CLK_OUT1 (48 MHz) domain, read back via 2-FF sync</t>
  </si>
  <si>
    <t>Value driven on port_out_clk_out1_0[3:0]
Default 0x0
Write is lost while CLK_OUT1 is stopped or in reset (SYSCTRL 0x00/0x01)</t>
  </si>
  <si>
    <t>PORT_OUT_CLK_OUT1_0[3:0]</t>
  </si>
  <si>
    <t>0x00014</t>
  </si>
  <si>
    <t>PORT_OUT_CLK_OUT1_1</t>
  </si>
  <si>
    <t>PORT_OUT_CLK_OUT1_1[3:0]: port_out_clk_out1_1 output
Written in CLK_OUT1 (48 MHz) domain, read back via 2-FF sync</t>
  </si>
  <si>
    <t>Value driven on port_out_clk_out1_1[3:0]
Default 0x0
Write is lost while CLK_OUT1 is stopped or in reset (SYSCTRL 0x00/0x01)</t>
  </si>
  <si>
    <t>PORT_OUT_CLK_OUT1_1[3:0]</t>
  </si>
  <si>
    <t>0x00015</t>
  </si>
  <si>
    <t>PORT_OUT_CLK_OUT1_2</t>
  </si>
  <si>
    <t>PORT_OUT_CLK_OUT1_2[3:0]: port_out_clk_out1_2 output
Written in CLK_OUT1 (48 MHz) domain, read back via 2-FF sync</t>
  </si>
  <si>
    <t>Value driven on port_out_clk_out1_2[3:0]
Default 0x0
Write is lost while CLK_OUT1 is stopped or in reset (SYSCTRL 0x00/0x01)</t>
  </si>
  <si>
    <t>PORT_OUT_CLK_OUT1_2[3:0]</t>
  </si>
  <si>
    <t>0x00016
~ 0x0001F</t>
  </si>
  <si>
    <t>0x00020</t>
  </si>
  <si>
    <t>PORT_IN_CLK_OUT2_0</t>
  </si>
  <si>
    <t>PORT_IN_CLK_OUT2_0[3:0]: port_in_clk_out2_0 input
Registered in CLK_OUT2 (150 MHz), 2-FF sync to CLK_CPUIF</t>
  </si>
  <si>
    <t>Input level of port_in_clk_out2_0[3:0]
(SYSTEM_TOP: w_port_in_clk_out2_0 not connected yet - TODO)</t>
  </si>
  <si>
    <t>PORT_IN_CLK_OUT2_0[3:0]</t>
  </si>
  <si>
    <t>0x00021</t>
  </si>
  <si>
    <t>PORT_IN_CLK_OUT2_1</t>
  </si>
  <si>
    <t>PORT_IN_CLK_OUT2_1[3:0]: port_in_clk_out2_1 input
Registered in CLK_OUT2 (150 MHz), 2-FF sync to CLK_CPUIF</t>
  </si>
  <si>
    <t>Input level of port_in_clk_out2_1[3:0]
(SYSTEM_TOP: w_port_in_clk_out2_1 not connected yet - TODO)</t>
  </si>
  <si>
    <t>PORT_IN_CLK_OUT2_1[3:0]</t>
  </si>
  <si>
    <t>0x00022</t>
  </si>
  <si>
    <t>PORT_IN_CLK_OUT2_2</t>
  </si>
  <si>
    <t>PORT_IN_CLK_OUT2_2[3:0]: port_in_clk_out2_2 input
Registered in CLK_OUT2 (150 MHz), 2-FF sync to CLK_CPUIF</t>
  </si>
  <si>
    <t>Input level of port_in_clk_out2_2[3:0]
(SYSTEM_TOP: w_port_in_clk_out2_2 not connected yet - TODO)</t>
  </si>
  <si>
    <t>PORT_IN_CLK_OUT2_2[3:0]</t>
  </si>
  <si>
    <t>0x00023</t>
  </si>
  <si>
    <t>PORT_OUT_CLK_OUT2_0</t>
  </si>
  <si>
    <t>PORT_OUT_CLK_OUT2_0[3:0]: port_out_clk_out2_0 output
Written in CLK_OUT2 (150 MHz) domain, read back via 2-FF sync</t>
  </si>
  <si>
    <t>Value driven on port_out_clk_out2_0[3:0]
Default 0x0
Write is lost while CLK_OUT2 is stopped or in reset (SYSCTRL 0x00/0x02)</t>
  </si>
  <si>
    <t>PORT_OUT_CLK_OUT2_0[3:0]</t>
  </si>
  <si>
    <t>0x00024</t>
  </si>
  <si>
    <t>PORT_OUT_CLK_OUT2_1</t>
  </si>
  <si>
    <t>PORT_OUT_CLK_OUT2_1[3:0]: port_out_clk_out2_1 output
Written in CLK_OUT2 (150 MHz) domain, read back via 2-FF sync</t>
  </si>
  <si>
    <t>Value driven on port_out_clk_out2_1[3:0]
Default 0x0
Write is lost while CLK_OUT2 is stopped or in reset (SYSCTRL 0x00/0x02)</t>
  </si>
  <si>
    <t>PORT_OUT_CLK_OUT2_1[3:0]</t>
  </si>
  <si>
    <t>0x00025</t>
  </si>
  <si>
    <t>PORT_OUT_CLK_OUT2_2</t>
  </si>
  <si>
    <t>PORT_OUT_CLK_OUT2_2[3:0]: port_out_clk_out2_2 output
Written in CLK_OUT2 (150 MHz) domain, read back via 2-FF sync</t>
  </si>
  <si>
    <t>Value driven on port_out_clk_out2_2[3:0]
Default 0x0
Write is lost while CLK_OUT2 is stopped or in reset (SYSCTRL 0x00/0x02)</t>
  </si>
  <si>
    <t>PORT_OUT_CLK_OUT2_2[3:0]</t>
  </si>
  <si>
    <t>0x00026
~ 0x0007F</t>
  </si>
  <si>
    <t>ARINC_717 Module (DUT_ARINC_717 / Core717 AXI4-Lite)</t>
  </si>
  <si>
    <t>CORE_VERSION</t>
  </si>
  <si>
    <t>MAJOR[15:8]</t>
  </si>
  <si>
    <t>MAJOR[15:0]: RTL major version
MINOR[15:0]: RTL minor version</t>
  </si>
  <si>
    <t>Constant 0x0001_0000 (v1.0)
Write returns SLVERR</t>
  </si>
  <si>
    <t>MAJOR[7:0]</t>
  </si>
  <si>
    <t>MINOR[15:8]</t>
  </si>
  <si>
    <t>MINOR[7:0]</t>
  </si>
  <si>
    <t>GLOBAL_CTRL</t>
  </si>
  <si>
    <t>SOFT_RESET: soft reset, self-clears when done
GLOBAL_EN: core enable
TX_EN / RX_EN: TX / RX path enable
IRQ_ENABLE: aggregated irq output enable
INJ_DST: pattern injector destination</t>
  </si>
  <si>
    <t>0b0: disable / idle (default)
0b1: enable / start
INJ_DST 0b0: TX pins, 0b1: RX input
Poll SOFT_RESET until 0b0 before config</t>
  </si>
  <si>
    <t>INJ_DST</t>
  </si>
  <si>
    <t>IRQ_ENABLE</t>
  </si>
  <si>
    <t>RX_EN</t>
  </si>
  <si>
    <t>TX_EN</t>
  </si>
  <si>
    <t>GLOBAL_EN</t>
  </si>
  <si>
    <t>SOFT_RESET</t>
  </si>
  <si>
    <t>GLOBAL_STATUS</t>
  </si>
  <si>
    <t>CORE_PENDING: IRQ_SOURCE is not 0
CLR_BUSY: SOFT_RESET or FIFO clear in progress</t>
  </si>
  <si>
    <t>0b0: idle
0b1: pending / busy</t>
  </si>
  <si>
    <t>CLR_BUSY</t>
  </si>
  <si>
    <t>CORE_PENDING</t>
  </si>
  <si>
    <t>IRQ_SOURCE</t>
  </si>
  <si>
    <t>[3:0]: TX_IRQ_STATUS AND TX_IRQ_ENABLE
[22:16]: RX_IRQ_STATUS AND RX_IRQ_ENABLE
Not gated by GLOBAL_CTRL.IRQ_ENABLE</t>
  </si>
  <si>
    <t>0b0: no request
0b1: source requests irq
Clear by W1C on TX/RX_IRQ_STATUS</t>
  </si>
  <si>
    <t>RX_BIT_ERR</t>
  </si>
  <si>
    <t>RX_INSYNC_LOST</t>
  </si>
  <si>
    <t>RX_MATCH</t>
  </si>
  <si>
    <t>RX_OVERFLOW</t>
  </si>
  <si>
    <t>RX_FULL</t>
  </si>
  <si>
    <t>RX_HALF</t>
  </si>
  <si>
    <t>RX_EMPTY</t>
  </si>
  <si>
    <t>TX_UNDERRUN</t>
  </si>
  <si>
    <t>TX_FULL</t>
  </si>
  <si>
    <t>TX_LOW</t>
  </si>
  <si>
    <t>TX_EMPTY</t>
  </si>
  <si>
    <t>0x00004
~ 0x00007</t>
  </si>
  <si>
    <t>0x00008</t>
  </si>
  <si>
    <t>TX_CTRL</t>
  </si>
  <si>
    <t>SYNC_INS_MODE: sync word insertion mode
TX_RATE[3:0]: TX word-rate select (spec Table 5)
Applied only while tx_active = 0</t>
  </si>
  <si>
    <t>SYNC_INS_MODE 0b0: software inserts sync
SYNC_INS_MODE 0b1: hardware inserts TX_SYNCx
TX_RATE 0x8 ~ 0xF: as 0x0 (64 wps)</t>
  </si>
  <si>
    <t>TX_RATE[3:0]</t>
  </si>
  <si>
    <t>SYNC_INS_MODE</t>
  </si>
  <si>
    <t>0x00009</t>
  </si>
  <si>
    <t>TX_STATUS</t>
  </si>
  <si>
    <t>EMPTY: TX FIFO level = 0
HALF: TX FIFO level &gt;= FIFO_DEPTH/2
FULL: TX FIFO level = FIFO_DEPTH</t>
  </si>
  <si>
    <t>0b0: false
0b1: true (reset: EMPTY = 1)</t>
  </si>
  <si>
    <t>FULL</t>
  </si>
  <si>
    <t>HALF</t>
  </si>
  <si>
    <t>EMPTY</t>
  </si>
  <si>
    <t>0x0000A
~ 0x0000B</t>
  </si>
  <si>
    <t>0x0000C</t>
  </si>
  <si>
    <t>TX_IRQ_ENABLE</t>
  </si>
  <si>
    <t>Interrupt enable of TX_IRQ_STATUS bits</t>
  </si>
  <si>
    <t>0b0: disable
0b1: enable</t>
  </si>
  <si>
    <t>EN_UNDERRUN</t>
  </si>
  <si>
    <t>EN_FULL</t>
  </si>
  <si>
    <t>EN_LOW</t>
  </si>
  <si>
    <t>EN_EMPTY</t>
  </si>
  <si>
    <t>0x0000D</t>
  </si>
  <si>
    <t>TX_IRQ_STATUS</t>
  </si>
  <si>
    <t>ST_EMPTY: TX FIFO becomes empty
ST_LOW: level falls below FIFO_DEPTH/2
ST_FULL: TX FIFO becomes full
ST_UNDERRUN: FIFO empty at a word_tick</t>
  </si>
  <si>
    <t>Sticky, edge-triggered
W1C: write 0b1 to clear</t>
  </si>
  <si>
    <t>ST_UNDERRUN</t>
  </si>
  <si>
    <t>ST_FULL</t>
  </si>
  <si>
    <t>ST_LOW</t>
  </si>
  <si>
    <t>ST_EMPTY</t>
  </si>
  <si>
    <t>0x0000E</t>
  </si>
  <si>
    <t>TX_FIFO_CLEAR</t>
  </si>
  <si>
    <t>CLR: flush the TX FIFO only</t>
  </si>
  <si>
    <t>Write 0b1: flush</t>
  </si>
  <si>
    <t>WO</t>
  </si>
  <si>
    <t>CLR</t>
  </si>
  <si>
    <t>0x0000F</t>
  </si>
  <si>
    <t>TX_SYNC1</t>
  </si>
  <si>
    <t>SYNC1[11:0]: TX sync word 1 code</t>
  </si>
  <si>
    <t>Default 0x247 (octal 1107)</t>
  </si>
  <si>
    <t>SYNC1[11:8]</t>
  </si>
  <si>
    <t>0x02</t>
  </si>
  <si>
    <t>SYNC1[7:0]</t>
  </si>
  <si>
    <t>0x47</t>
  </si>
  <si>
    <t>TX_SYNC2</t>
  </si>
  <si>
    <t>SYNC2[11:0]: TX sync word 2 code</t>
  </si>
  <si>
    <t>Default 0x5B8 (octal 2670)</t>
  </si>
  <si>
    <t>SYNC2[11:8]</t>
  </si>
  <si>
    <t>0x05</t>
  </si>
  <si>
    <t>SYNC2[7:0]</t>
  </si>
  <si>
    <t>0xB8</t>
  </si>
  <si>
    <t>TX_SYNC3</t>
  </si>
  <si>
    <t>SYNC3[11:0]: TX sync word 3 code</t>
  </si>
  <si>
    <t>Default 0xA47 (octal 5107)</t>
  </si>
  <si>
    <t>SYNC3[11:8]</t>
  </si>
  <si>
    <t>0x0A</t>
  </si>
  <si>
    <t>SYNC3[7:0]</t>
  </si>
  <si>
    <t>TX_SYNC4</t>
  </si>
  <si>
    <t>SYNC4[11:0]: TX sync word 4 code</t>
  </si>
  <si>
    <t>Default 0xDB8 (octal 6670)</t>
  </si>
  <si>
    <t>SYNC4[11:8]</t>
  </si>
  <si>
    <t>0x0D</t>
  </si>
  <si>
    <t>SYNC4[7:0]</t>
  </si>
  <si>
    <t>0x00013
~ 0x00013</t>
  </si>
  <si>
    <t>TX_WORD_CNT</t>
  </si>
  <si>
    <t>TX_WORD_CNT[31:24]</t>
  </si>
  <si>
    <t>TX_WORD_CNT[31:0]: words started by the TX path</t>
  </si>
  <si>
    <t>Saturates at 0xFFFF_FFFF
Cleared by TX_CNT_CLEAR, SOFT_RESET</t>
  </si>
  <si>
    <t>TX_WORD_CNT[23:16]</t>
  </si>
  <si>
    <t>TX_WORD_CNT[15:8]</t>
  </si>
  <si>
    <t>TX_WORD_CNT[7:0]</t>
  </si>
  <si>
    <t>TX_BIT_CNT</t>
  </si>
  <si>
    <t>TX_BIT_CNT[31:24]</t>
  </si>
  <si>
    <t>TX_BIT_CNT[31:0]: bit cells started by the TX path</t>
  </si>
  <si>
    <t>TX_BIT_CNT[23:16]</t>
  </si>
  <si>
    <t>TX_BIT_CNT[15:8]</t>
  </si>
  <si>
    <t>TX_BIT_CNT[7:0]</t>
  </si>
  <si>
    <t>0x00016</t>
  </si>
  <si>
    <t>TX_CNT_CLEAR</t>
  </si>
  <si>
    <t>CLR: clear TX_WORD_CNT and TX_BIT_CNT</t>
  </si>
  <si>
    <t>Write 0b1: clear
Read returns SLVERR</t>
  </si>
  <si>
    <t>0x00017
~ 0x00017</t>
  </si>
  <si>
    <t>0x00018</t>
  </si>
  <si>
    <t>RX_CTRL</t>
  </si>
  <si>
    <t>RXSEL: decoder select (OR-ed with RSEL pin)
NOSYNC: disable sync detection
SFTSYNC: sync-word mode
TEST: digital loopback TX -&gt; RX
RX_RATE[3:0]: RX word-rate select (spec Table 5)</t>
  </si>
  <si>
    <t>RXSEL 0b0: HBP, 0b1: BPRZ
SFTSYNC 0b0: 4 sync words, 0b1: 2
NOSYNC / TEST 0b1: enable
RX_RATE 0x8 ~ 0xF: as 0x0 (64 wps)</t>
  </si>
  <si>
    <t>RX_RATE[3:0]</t>
  </si>
  <si>
    <t>TEST</t>
  </si>
  <si>
    <t>SFTSYNC</t>
  </si>
  <si>
    <t>NOSYNC</t>
  </si>
  <si>
    <t>RXSEL</t>
  </si>
  <si>
    <t>0x00019</t>
  </si>
  <si>
    <t>RX_STATUS</t>
  </si>
  <si>
    <t>EMPTY / HALF / FULL: RX FIFO flags
OVERFLOW: sticky, word lost while FULL
INSYNC: frame-synchronized
SYNC[1:0]: current subframe; MATCH: WRDCNT match
LOST_CAUSE[1:0]: why INSYNC fell last time</t>
  </si>
  <si>
    <t>SYNC 0b00 ~ 0b11: SYNC1 ~ SYNC4
LOST_CAUSE 0b01: wrong sync code
0b10: RX_ERR_LIMIT, 0b11: watchdog
Reset: EMPTY = 1</t>
  </si>
  <si>
    <t>LOST_CAUSE[1:0]</t>
  </si>
  <si>
    <t>MATCH</t>
  </si>
  <si>
    <t>SYNC[1:0]</t>
  </si>
  <si>
    <t>INSYNC</t>
  </si>
  <si>
    <t>OVERFLOW</t>
  </si>
  <si>
    <t>0x0001A</t>
  </si>
  <si>
    <t>INJ_CTRL</t>
  </si>
  <si>
    <t>INJ_EN: pattern injector enable
INJ_START: start a run (self-clearing)
INJ_MODE: run mode (spec 12.14)</t>
  </si>
  <si>
    <t>INJ_MODE 0b0: run once
INJ_MODE 0b1: continuous
No effect if INCLUDE_INJECTOR = 0</t>
  </si>
  <si>
    <t>INJ_MODE</t>
  </si>
  <si>
    <t>INJ_START</t>
  </si>
  <si>
    <t>INJ_EN</t>
  </si>
  <si>
    <t>0x0001B</t>
  </si>
  <si>
    <t>INJ_STATUS</t>
  </si>
  <si>
    <t>INJ_BUSY: a run is in progress
INJ_DONE: a run-once has ended</t>
  </si>
  <si>
    <t>0b0: false
0b1: true</t>
  </si>
  <si>
    <t>INJ_DONE</t>
  </si>
  <si>
    <t>INJ_BUSY</t>
  </si>
  <si>
    <t>0x0001C</t>
  </si>
  <si>
    <t>RX_IRQ_ENABLE</t>
  </si>
  <si>
    <t>Interrupt enable of RX_IRQ_STATUS bits</t>
  </si>
  <si>
    <t>EN_BIT_ERR</t>
  </si>
  <si>
    <t>EN_INSYNC_LOST</t>
  </si>
  <si>
    <t>EN_MATCH</t>
  </si>
  <si>
    <t>EN_OVERFLOW</t>
  </si>
  <si>
    <t>EN_HALF</t>
  </si>
  <si>
    <t>0x0001D</t>
  </si>
  <si>
    <t>RX_IRQ_STATUS</t>
  </si>
  <si>
    <t>ST_EMPTY / ST_HALF / ST_FULL: RX FIFO events
ST_OVERFLOW: word dropped, ST_MATCH: WRDCNT
ST_INSYNC_LOST: INSYNC falls
ST_BIT_ERR: bad bit counted</t>
  </si>
  <si>
    <t>ST_BIT_ERR</t>
  </si>
  <si>
    <t>ST_INSYNC_LOST</t>
  </si>
  <si>
    <t>ST_MATCH</t>
  </si>
  <si>
    <t>ST_OVERFLOW</t>
  </si>
  <si>
    <t>ST_HALF</t>
  </si>
  <si>
    <t>0x0001E</t>
  </si>
  <si>
    <t>RX_FIFO_CLEAR</t>
  </si>
  <si>
    <t>CLR: flush the RX FIFO only</t>
  </si>
  <si>
    <t>0x0001F</t>
  </si>
  <si>
    <t>WRDCNT</t>
  </si>
  <si>
    <t>SUBFRAME[1:0]: target subframe
WORD_CNT[12:0]: target word count (0 ~ 8191)
MATCH asserted for one word-time on match</t>
  </si>
  <si>
    <t>SUBFRAME 0b00 ~ 0b11: SYNC1 ~ SYNC4
WORD_CNT &gt;= W never matches</t>
  </si>
  <si>
    <t>WORD_CNT[12:6]</t>
  </si>
  <si>
    <t>WORD_CNT[5:0]</t>
  </si>
  <si>
    <t>SUBFRAME[1:0]</t>
  </si>
  <si>
    <t>RX_SYNC1</t>
  </si>
  <si>
    <t>SYNC1[11:0]: RX sync word 1 code</t>
  </si>
  <si>
    <t>RX_SYNC2</t>
  </si>
  <si>
    <t>SYNC2[11:0]: RX sync word 2 code</t>
  </si>
  <si>
    <t>RX_SYNC3</t>
  </si>
  <si>
    <t>SYNC3[11:0]: RX sync word 3 code</t>
  </si>
  <si>
    <t>RX_SYNC4</t>
  </si>
  <si>
    <t>SYNC4[11:0]: RX sync word 4 code</t>
  </si>
  <si>
    <t>0x00024
~ 0x00027</t>
  </si>
  <si>
    <t>0x00028</t>
  </si>
  <si>
    <t>RX_ERR_LIMIT</t>
  </si>
  <si>
    <t>LIMIT[7:0]: consecutive bad bits that end INSYNC</t>
  </si>
  <si>
    <t>0x00: off
Default 0x0C (12)</t>
  </si>
  <si>
    <t>LIMIT[7:0]</t>
  </si>
  <si>
    <t>0x0C</t>
  </si>
  <si>
    <t>0x00029</t>
  </si>
  <si>
    <t>RX_ERR_CLEAR</t>
  </si>
  <si>
    <t>CLR: clear bit-error counters, positions and cause</t>
  </si>
  <si>
    <t>0x0002A</t>
  </si>
  <si>
    <t>RX_BIT_ERR_CNT</t>
  </si>
  <si>
    <t>RX_BIT_ERR_CNT[31:24]</t>
  </si>
  <si>
    <t>RX_BIT_ERR_CNT[31:0]: bad bits counted while INSYNC = 1</t>
  </si>
  <si>
    <t>Saturating
Active when ERRCHK_ENB = 1</t>
  </si>
  <si>
    <t>RX_BIT_ERR_CNT[23:16]</t>
  </si>
  <si>
    <t>RX_BIT_ERR_CNT[15:8]</t>
  </si>
  <si>
    <t>RX_BIT_ERR_CNT[7:0]</t>
  </si>
  <si>
    <t>0x0002B</t>
  </si>
  <si>
    <t>RX_WORD_ERR_CNT</t>
  </si>
  <si>
    <t>RX_WORD_ERR_CNT[31:24]</t>
  </si>
  <si>
    <t>RX_WORD_ERR_CNT[31:0]: words written with error flag</t>
  </si>
  <si>
    <t>RX_WORD_ERR_CNT[23:16]</t>
  </si>
  <si>
    <t>RX_WORD_ERR_CNT[15:8]</t>
  </si>
  <si>
    <t>RX_WORD_ERR_CNT[7:0]</t>
  </si>
  <si>
    <t>0x0002C</t>
  </si>
  <si>
    <t>RX_BIT_ERR_POS</t>
  </si>
  <si>
    <t>FRAME[12:5]</t>
  </si>
  <si>
    <t>Position of the last bad bit
BIT: bit in word (0 ~ 11)
WORD: word in subframe (0 = sync)
SUBFRAME: 0 ~ 3, FRAME: frame counter</t>
  </si>
  <si>
    <t>Cleared by RX_ERR_CLEAR</t>
  </si>
  <si>
    <t>FRAME[4:0]</t>
  </si>
  <si>
    <t>WORD[12:12]</t>
  </si>
  <si>
    <t>WORD[11:4]</t>
  </si>
  <si>
    <t>WORD[3:0]</t>
  </si>
  <si>
    <t>BIT[3:0]</t>
  </si>
  <si>
    <t>0x0002D</t>
  </si>
  <si>
    <t>RX_BIT_ERR_POS0</t>
  </si>
  <si>
    <t>Position of the first bad bit
BIT: bit in word (0 ~ 11)
WORD: word in subframe (0 = sync)
SUBFRAME: 0 ~ 3, FRAME: frame counter</t>
  </si>
  <si>
    <t>0x0002E</t>
  </si>
  <si>
    <t>RX_BIT_ERR_CAUSE</t>
  </si>
  <si>
    <t>Sticky: checks that produced a bad bit
HBP: EDGE_DIST, PHASE, MID_MID, NO_EDGE, RESYNC
BPRZ: NO_PULSE, WRONG_POL, NO_NULL, BIT_GAP, BIT_LOST
(spec Table 40)</t>
  </si>
  <si>
    <t>0b1: check produced a bad bit
Cleared by RX_ERR_CLEAR</t>
  </si>
  <si>
    <t>RESYNC</t>
  </si>
  <si>
    <t>BIT_LOST</t>
  </si>
  <si>
    <t>BIT_GAP</t>
  </si>
  <si>
    <t>NO_NULL</t>
  </si>
  <si>
    <t>WRONG_POL</t>
  </si>
  <si>
    <t>NO_PULSE</t>
  </si>
  <si>
    <t>NO_EDGE</t>
  </si>
  <si>
    <t>MID_MID</t>
  </si>
  <si>
    <t>PHASE</t>
  </si>
  <si>
    <t>EDGE_DIST</t>
  </si>
  <si>
    <t>0x0002F</t>
  </si>
  <si>
    <t>RX_ERR_CTRL</t>
  </si>
  <si>
    <t>ERRCHK_ENB: bit-error check after lock
Applied only while rx_active = 0</t>
  </si>
  <si>
    <t>0b0: off
0b1: on</t>
  </si>
  <si>
    <t>ERRCHK_ENB</t>
  </si>
  <si>
    <t>0x00030</t>
  </si>
  <si>
    <t>RX_BIT_POS_NOW</t>
  </si>
  <si>
    <t>Position of the current bit (INSYNC = 1)
BIT: bit in word (0 ~ 11)
WORD: word in subframe (0 = sync)
SUBFRAME: 0 ~ 3, FRAME: frame counter</t>
  </si>
  <si>
    <t>Keeps last value when INSYNC falls</t>
  </si>
  <si>
    <t>0x00031</t>
  </si>
  <si>
    <t>RX_SYNC_WD</t>
  </si>
  <si>
    <t>MARGIN[7:0]: sync watchdog limit
= (16 + MARGIN) x 12 x W RX sample_ticks</t>
  </si>
  <si>
    <t>0x00: watchdog off
Default 0x08 (1.5 subframes)</t>
  </si>
  <si>
    <t>MARGIN[7:0]</t>
  </si>
  <si>
    <t>0x08</t>
  </si>
  <si>
    <t>0x00032
~ 0x0003F</t>
  </si>
  <si>
    <t>0x00040</t>
  </si>
  <si>
    <t>TX_DATA</t>
  </si>
  <si>
    <t>TX_DATA[11:0]: latches the word to be pushed
(write alone does not push the FIFO)</t>
  </si>
  <si>
    <t>Read returns the last latched word</t>
  </si>
  <si>
    <t>TX_DATA[11:8]</t>
  </si>
  <si>
    <t>TX_DATA[7:0]</t>
  </si>
  <si>
    <t>0x00041</t>
  </si>
  <si>
    <t>TX_WR_EN</t>
  </si>
  <si>
    <t>TX_WR_EN: arm TX_WR_ADDR pushes</t>
  </si>
  <si>
    <t>0b0: TX_WR_ADDR write pushes nothing
0b1: armed</t>
  </si>
  <si>
    <t>0x00042</t>
  </si>
  <si>
    <t>TX_WR_ADDR</t>
  </si>
  <si>
    <t>TX_WR_ADDR[31:24]</t>
  </si>
  <si>
    <t>TX_WR_ADDR[31:0]: software word index
Write while TX_WR_EN = 1 pushes TX_DATA</t>
  </si>
  <si>
    <t>SLVERR if FULL or CLR_BUSY = 1</t>
  </si>
  <si>
    <t>TX_WR_ADDR[23:16]</t>
  </si>
  <si>
    <t>TX_WR_ADDR[15:8]</t>
  </si>
  <si>
    <t>TX_WR_ADDR[7:0]</t>
  </si>
  <si>
    <t>0x00043
~ 0x0004F</t>
  </si>
  <si>
    <t>0x00050</t>
  </si>
  <si>
    <t>RX_RD_DATA</t>
  </si>
  <si>
    <t>Read = one pop from the RX FIFO
RX_WORD[11:0]: ARINC word
ERR_FLAG: word has a bad bit</t>
  </si>
  <si>
    <t>SLVERR if EMPTY or CLR_BUSY = 1
Write returns SLVERR</t>
  </si>
  <si>
    <t>ERR_FLAG</t>
  </si>
  <si>
    <t>RX_WORD[11:8]</t>
  </si>
  <si>
    <t>RX_WORD[7:0]</t>
  </si>
  <si>
    <t>0x00051</t>
  </si>
  <si>
    <t>RX_RD_EN</t>
  </si>
  <si>
    <t>RX_RD_EN: stored only, does not gate the pop</t>
  </si>
  <si>
    <t>0b0 / 0b1: stored value</t>
  </si>
  <si>
    <t>0x00052</t>
  </si>
  <si>
    <t>RX_RD_ADDR</t>
  </si>
  <si>
    <t>RX_RD_ADDR[31:24]</t>
  </si>
  <si>
    <t>RX_RD_ADDR[31:0]: software word index
(never pops the FIFO)</t>
  </si>
  <si>
    <t>Stored only</t>
  </si>
  <si>
    <t>RX_RD_ADDR[23:16]</t>
  </si>
  <si>
    <t>RX_RD_ADDR[15:8]</t>
  </si>
  <si>
    <t>RX_RD_ADDR[7:0]</t>
  </si>
  <si>
    <t>0x00053
~ 0x000FF</t>
  </si>
  <si>
    <t>Write ignored, read returns 0x0000_0000
(from byte 0x0150: response SLVERR)</t>
  </si>
  <si>
    <t>Draft: register map</t>
  </si>
  <si>
    <t>MISC_RST</t>
  </si>
  <si>
    <t>MISC_RST: MISC_TOP reset</t>
  </si>
  <si>
    <t>CLK_FAIL_FLAG</t>
  </si>
  <si>
    <t>CLK_UNLOCK: Unlock flag for clock_wiz_0
(latched, clear on read)</t>
  </si>
  <si>
    <t>0b1: Unlock, 0b0: Lock</t>
  </si>
  <si>
    <t>RO</t>
  </si>
  <si>
    <t>CLK_UNLOCK</t>
  </si>
  <si>
    <t>-</t>
  </si>
  <si>
    <t>CLK_FAIL_STS</t>
  </si>
  <si>
    <t>CLK_UNLOCK: Unlock status for clock_wiz_0</t>
  </si>
  <si>
    <t>0b1: Unlock, 0b0: Lock</t>
  </si>
  <si>
    <t>CLK_UNLOCK</t>
  </si>
  <si>
    <t>0x00080</t>
  </si>
  <si>
    <t>0x00100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</si>
</sst>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FF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C000"/>
      </patternFill>
    </fill>
    <fill>
      <patternFill patternType="solid">
        <fgColor rgb="FFD9D9D9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0000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0000FF"/>
      </top>
      <bottom style="double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FF"/>
      </bottom>
      <diagonal/>
    </border>
    <border>
      <left style="thin">
        <color auto="1"/>
      </left>
      <right style="thin">
        <color auto="1"/>
      </right>
      <top/>
      <bottom style="double">
        <color rgb="FF0000FF"/>
      </bottom>
      <diagonal/>
    </border>
    <border>
      <left/>
      <right/>
      <top style="thin">
        <color auto="1"/>
      </top>
      <bottom style="double">
        <color rgb="FF0000FF"/>
      </bottom>
      <diagonal/>
    </border>
    <border>
      <left/>
      <right style="thin">
        <color auto="1"/>
      </right>
      <top style="thin">
        <color auto="1"/>
      </top>
      <bottom style="double">
        <color rgb="FF0000FF"/>
      </bottom>
      <diagonal/>
    </border>
    <border>
      <left/>
      <right/>
      <top style="double">
        <color rgb="FF0000FF"/>
      </top>
      <bottom style="thin">
        <color auto="1"/>
      </bottom>
      <diagonal/>
    </border>
    <border>
      <left/>
      <right style="thin">
        <color auto="1"/>
      </right>
      <top style="double">
        <color rgb="FF0000FF"/>
      </top>
      <bottom style="thin">
        <color auto="1"/>
      </bottom>
      <diagonal/>
    </border>
    <border>
      <left/>
      <right/>
      <top style="double">
        <color rgb="FF0000FF"/>
      </top>
      <bottom style="double">
        <color rgb="FF0000FF"/>
      </bottom>
      <diagonal/>
    </border>
    <border>
      <left/>
      <right style="thin">
        <color auto="1"/>
      </right>
      <top style="double">
        <color rgb="FF0000FF"/>
      </top>
      <bottom style="double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0000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FF"/>
      </bottom>
      <diagonal/>
    </border>
    <border>
      <left style="thin">
        <color auto="1"/>
      </left>
      <right style="thin">
        <color auto="1"/>
      </right>
      <top style="double">
        <color rgb="FF0000FF"/>
      </top>
      <bottom style="double">
        <color rgb="FF0000F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4" borderId="14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2" fillId="0" borderId="14" xfId="0" applyFont="1" applyBorder="1" applyAlignment="1">
      <alignment horizontal="center" vertical="center" wrapText="1"/>
    </xf>
    <xf numFmtId="0" fontId="0" fillId="0" borderId="7" xfId="0" applyBorder="1"/>
    <xf numFmtId="0" fontId="0" fillId="0" borderId="16" xfId="0" applyBorder="1"/>
    <xf numFmtId="0" fontId="2" fillId="0" borderId="14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0" xfId="0"/>
    <xf numFmtId="0" fontId="0" fillId="0" borderId="9" xfId="0" applyBorder="1"/>
    <xf numFmtId="0" fontId="2" fillId="0" borderId="15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2" fillId="0" borderId="26" xfId="0" applyFont="1" applyBorder="1" applyAlignment="1">
      <alignment horizontal="left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2" fillId="4" borderId="26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"/>
  <sheetViews>
    <sheetView workbookViewId="0">
      <selection activeCell="E19" sqref="E19"/>
    </sheetView>
  </sheetViews>
  <sheetFormatPr defaultRowHeight="15" x14ac:dyDescent="0.25"/>
  <cols>
    <col min="1" max="1" width="2" customWidth="1"/>
    <col min="2" max="2" width="6" customWidth="1"/>
    <col min="3" max="3" width="14" customWidth="1"/>
    <col min="4" max="4" width="16" customWidth="1"/>
    <col min="5" max="5" width="90" customWidth="1"/>
  </cols>
  <sheetData>
    <row r="1" spans="2:5" x14ac:dyDescent="0.25">
      <c r="B1" s="23" t="s">
        <v>0</v>
      </c>
      <c r="C1" s="24"/>
      <c r="D1" s="24"/>
      <c r="E1" s="25"/>
    </row>
    <row r="2" spans="2:5" x14ac:dyDescent="0.25">
      <c r="B2" s="1" t="s">
        <v>1</v>
      </c>
      <c r="C2" s="1" t="s">
        <v>2</v>
      </c>
      <c r="D2" s="1" t="s">
        <v>3</v>
      </c>
      <c r="E2" s="1" t="s">
        <v>4</v>
      </c>
    </row>
    <row r="3" spans="2:5" ht="30" customHeight="1" x14ac:dyDescent="0.25">
      <c r="B3" s="2">
        <v>1</v>
      </c>
      <c r="C3" s="2" t="s">
        <v>5</v>
      </c>
      <c r="D3" s="2"/>
      <c r="E3" s="3" t="s">
        <v>504</v>
      </c>
    </row>
    <row r="4" spans="2:5" ht="30" customHeight="1" x14ac:dyDescent="0.25">
      <c r="B4" s="2">
        <v>2</v>
      </c>
      <c r="C4" s="2"/>
      <c r="D4" s="2"/>
      <c r="E4" s="3"/>
    </row>
    <row r="5" spans="2:5" ht="30" customHeight="1" x14ac:dyDescent="0.25">
      <c r="B5" s="2">
        <v>3</v>
      </c>
      <c r="C5" s="2"/>
      <c r="D5" s="2"/>
      <c r="E5" s="3"/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5"/>
  <sheetViews>
    <sheetView topLeftCell="A27" workbookViewId="0">
      <selection activeCell="B45" sqref="B45"/>
    </sheetView>
  </sheetViews>
  <sheetFormatPr defaultRowHeight="15" x14ac:dyDescent="0.25"/>
  <cols>
    <col min="1" max="1" width="2" customWidth="1"/>
    <col min="2" max="2" width="22" customWidth="1"/>
    <col min="3" max="3" width="14" customWidth="1"/>
    <col min="4" max="4" width="9" customWidth="1"/>
    <col min="5" max="5" width="28" customWidth="1"/>
    <col min="6" max="6" width="60" customWidth="1"/>
  </cols>
  <sheetData>
    <row r="1" spans="2:6" x14ac:dyDescent="0.25">
      <c r="B1" s="4" t="s">
        <v>6</v>
      </c>
    </row>
    <row r="2" spans="2:6" x14ac:dyDescent="0.25"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2:6" ht="30" customHeight="1" x14ac:dyDescent="0.25">
      <c r="B3" s="3" t="s">
        <v>12</v>
      </c>
      <c r="C3" s="2" t="s">
        <v>13</v>
      </c>
      <c r="D3" s="2" t="s">
        <v>14</v>
      </c>
      <c r="E3" s="3" t="s">
        <v>15</v>
      </c>
      <c r="F3" s="3" t="s">
        <v>16</v>
      </c>
    </row>
    <row r="4" spans="2:6" ht="30" customHeight="1" x14ac:dyDescent="0.25">
      <c r="B4" s="3" t="s">
        <v>17</v>
      </c>
      <c r="C4" s="2" t="s">
        <v>18</v>
      </c>
      <c r="D4" s="2" t="s">
        <v>19</v>
      </c>
      <c r="E4" s="3" t="s">
        <v>20</v>
      </c>
      <c r="F4" s="3" t="s">
        <v>21</v>
      </c>
    </row>
    <row r="5" spans="2:6" ht="30" customHeight="1" x14ac:dyDescent="0.25">
      <c r="B5" s="3" t="s">
        <v>22</v>
      </c>
      <c r="C5" s="2" t="s">
        <v>23</v>
      </c>
      <c r="D5" s="2" t="s">
        <v>24</v>
      </c>
      <c r="E5" s="3" t="s">
        <v>25</v>
      </c>
      <c r="F5" s="3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6"/>
  <sheetViews>
    <sheetView workbookViewId="0"/>
  </sheetViews>
  <sheetFormatPr defaultRowHeight="15" x14ac:dyDescent="0.25"/>
  <cols>
    <col min="1" max="1" width="2" customWidth="1"/>
    <col min="2" max="2" width="14" customWidth="1"/>
    <col min="3" max="4" width="11" customWidth="1"/>
    <col min="5" max="5" width="10" customWidth="1"/>
    <col min="6" max="6" width="7" customWidth="1"/>
    <col min="7" max="8" width="11" customWidth="1"/>
    <col min="9" max="10" width="13" customWidth="1"/>
    <col min="11" max="11" width="34" customWidth="1"/>
  </cols>
  <sheetData>
    <row r="1" spans="2:11" ht="18.399999999999999" customHeight="1" x14ac:dyDescent="0.3">
      <c r="B1" s="5" t="str">
        <f>"ARINC (Base address: "&amp;$C$2&amp;") - CPUIF_TOP address decode"</f>
        <v>ARINC (Base address: 0x40000000) - CPUIF_TOP address decode</v>
      </c>
    </row>
    <row r="2" spans="2:11" x14ac:dyDescent="0.25">
      <c r="B2" s="1" t="s">
        <v>27</v>
      </c>
      <c r="C2" s="6" t="s">
        <v>28</v>
      </c>
    </row>
    <row r="3" spans="2:11" ht="27" customHeight="1" x14ac:dyDescent="0.25"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</row>
    <row r="4" spans="2:11" x14ac:dyDescent="0.25">
      <c r="B4" s="2" t="s">
        <v>39</v>
      </c>
      <c r="C4" s="2" t="s">
        <v>40</v>
      </c>
      <c r="D4" s="2" t="s">
        <v>41</v>
      </c>
      <c r="E4" s="2">
        <f>((HEX2DEC(MID(D4,3,5))+1)-HEX2DEC(MID(C4,3,5)))*4</f>
        <v>512</v>
      </c>
      <c r="F4" s="2" t="s">
        <v>42</v>
      </c>
      <c r="G4" s="2" t="str">
        <f>CONCATENATE("0x",DEC2HEX(HEX2DEC(MID(C4,3,5))*4,6))</f>
        <v>0x000000</v>
      </c>
      <c r="H4" s="2" t="str">
        <f>CONCATENATE("0x",DEC2HEX(HEX2DEC(MID(D4,3,5))*4+3,6))</f>
        <v>0x0001FF</v>
      </c>
      <c r="I4" s="2" t="str">
        <f t="shared" ref="I4:J6" si="0">CONCATENATE("0x",LEFT(DEC2HEX(HEX2DEC(MID($C$2,3,8))+HEX2DEC(MID(G4,3,6)),8),4),"_",RIGHT(DEC2HEX(HEX2DEC(MID($C$2,3,8))+HEX2DEC(MID(G4,3,6)),8),4))</f>
        <v>0x4000_0000</v>
      </c>
      <c r="J4" s="2" t="str">
        <f t="shared" si="0"/>
        <v>0x4000_01FF</v>
      </c>
      <c r="K4" s="3" t="s">
        <v>43</v>
      </c>
    </row>
    <row r="5" spans="2:11" x14ac:dyDescent="0.25">
      <c r="B5" s="2" t="s">
        <v>44</v>
      </c>
      <c r="C5" s="59" t="s">
        <v>517</v>
      </c>
      <c r="D5" s="2" t="s">
        <v>45</v>
      </c>
      <c r="E5" s="2">
        <f>((HEX2DEC(MID(D5,3,5))+1)-HEX2DEC(MID(C5,3,5)))*4</f>
        <v>512</v>
      </c>
      <c r="F5" s="2" t="s">
        <v>42</v>
      </c>
      <c r="G5" s="2" t="str">
        <f>CONCATENATE("0x",DEC2HEX(HEX2DEC(MID(C5,3,5))*4,6))</f>
        <v>0x000200</v>
      </c>
      <c r="H5" s="2" t="str">
        <f>CONCATENATE("0x",DEC2HEX(HEX2DEC(MID(D5,3,5))*4+3,6))</f>
        <v>0x0003FF</v>
      </c>
      <c r="I5" s="2" t="str">
        <f t="shared" si="0"/>
        <v>0x4000_0200</v>
      </c>
      <c r="J5" s="2" t="str">
        <f t="shared" si="0"/>
        <v>0x4000_03FF</v>
      </c>
      <c r="K5" s="3" t="s">
        <v>46</v>
      </c>
    </row>
    <row r="6" spans="2:11" x14ac:dyDescent="0.25">
      <c r="B6" s="2" t="s">
        <v>47</v>
      </c>
      <c r="C6" s="59" t="s">
        <v>518</v>
      </c>
      <c r="D6" s="2" t="s">
        <v>48</v>
      </c>
      <c r="E6" s="2">
        <f>((HEX2DEC(MID(D6,3,5))+1)-HEX2DEC(MID(C6,3,5)))*4</f>
        <v>1047552</v>
      </c>
      <c r="F6" s="2" t="s">
        <v>49</v>
      </c>
      <c r="G6" s="2" t="str">
        <f>CONCATENATE("0x",DEC2HEX(HEX2DEC(MID(C6,3,5))*4,6))</f>
        <v>0x000400</v>
      </c>
      <c r="H6" s="2" t="str">
        <f>CONCATENATE("0x",DEC2HEX(HEX2DEC(MID(D6,3,5))*4+3,6))</f>
        <v>0x0FFFFF</v>
      </c>
      <c r="I6" s="2" t="str">
        <f t="shared" si="0"/>
        <v>0x4000_0400</v>
      </c>
      <c r="J6" s="2" t="str">
        <f t="shared" si="0"/>
        <v>0x400F_FFFF</v>
      </c>
      <c r="K6" s="3" t="s">
        <v>50</v>
      </c>
    </row>
    <row r="8" spans="2:11" x14ac:dyDescent="0.25">
      <c r="B8" s="4" t="s">
        <v>51</v>
      </c>
    </row>
    <row r="9" spans="2:11" x14ac:dyDescent="0.25">
      <c r="B9" s="7" t="str">
        <f>"* Word address = PS byte address[21:2] (user_add[19:0]); PS byte address = "&amp;$C$2&amp;" + word address x 4."</f>
        <v>* Word address = PS byte address[21:2] (user_add[19:0]); PS byte address = 0x40000000 + word address x 4.</v>
      </c>
    </row>
    <row r="10" spans="2:11" x14ac:dyDescent="0.25">
      <c r="B10" s="7" t="s">
        <v>52</v>
      </c>
    </row>
    <row r="11" spans="2:11" x14ac:dyDescent="0.25">
      <c r="B11" s="7" t="s">
        <v>53</v>
      </c>
    </row>
    <row r="12" spans="2:11" x14ac:dyDescent="0.25">
      <c r="B12" s="7" t="s">
        <v>54</v>
      </c>
    </row>
    <row r="13" spans="2:11" x14ac:dyDescent="0.25">
      <c r="B13" s="7" t="s">
        <v>55</v>
      </c>
    </row>
    <row r="14" spans="2:11" x14ac:dyDescent="0.25">
      <c r="B14" s="7" t="s">
        <v>56</v>
      </c>
    </row>
    <row r="15" spans="2:11" x14ac:dyDescent="0.25">
      <c r="B15" s="7" t="s">
        <v>57</v>
      </c>
    </row>
    <row r="17" spans="2:11" ht="18.399999999999999" customHeight="1" x14ac:dyDescent="0.3">
      <c r="B17" s="5" t="str">
        <f>"DUT_ARINC_717 (Base address: "&amp;$C$18&amp;") - Core717 AXI4-Lite address decode"</f>
        <v>DUT_ARINC_717 (Base address: 0x60000000) - Core717 AXI4-Lite address decode</v>
      </c>
    </row>
    <row r="18" spans="2:11" x14ac:dyDescent="0.25">
      <c r="B18" s="1" t="s">
        <v>27</v>
      </c>
      <c r="C18" s="6" t="s">
        <v>58</v>
      </c>
    </row>
    <row r="19" spans="2:11" ht="27" customHeight="1" x14ac:dyDescent="0.25"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2:11" ht="25.5" x14ac:dyDescent="0.25">
      <c r="B20" s="2" t="s">
        <v>59</v>
      </c>
      <c r="C20" s="2" t="s">
        <v>40</v>
      </c>
      <c r="D20" s="2" t="s">
        <v>45</v>
      </c>
      <c r="E20" s="2">
        <f>((HEX2DEC(MID(D20,3,5))+1)-HEX2DEC(MID(C20,3,5)))*4</f>
        <v>1024</v>
      </c>
      <c r="F20" s="2" t="s">
        <v>42</v>
      </c>
      <c r="G20" s="2" t="str">
        <f>CONCATENATE("0x",DEC2HEX(HEX2DEC(MID(C20,3,5))*4,6))</f>
        <v>0x000000</v>
      </c>
      <c r="H20" s="2" t="str">
        <f>CONCATENATE("0x",DEC2HEX(HEX2DEC(MID(D20,3,5))*4+3,6))</f>
        <v>0x0003FF</v>
      </c>
      <c r="I20" s="2" t="str">
        <f>CONCATENATE("0x",LEFT(DEC2HEX(HEX2DEC(MID($C$18,3,8))+HEX2DEC(MID(G20,3,6)),8),4),"_",RIGHT(DEC2HEX(HEX2DEC(MID($C$18,3,8))+HEX2DEC(MID(G20,3,6)),8),4))</f>
        <v>0x6000_0000</v>
      </c>
      <c r="J20" s="2" t="str">
        <f>CONCATENATE("0x",LEFT(DEC2HEX(HEX2DEC(MID($C$18,3,8))+HEX2DEC(MID(H20,3,6)),8),4),"_",RIGHT(DEC2HEX(HEX2DEC(MID($C$18,3,8))+HEX2DEC(MID(H20,3,6)),8),4))</f>
        <v>0x6000_03FF</v>
      </c>
      <c r="K20" s="3" t="s">
        <v>60</v>
      </c>
    </row>
    <row r="22" spans="2:11" x14ac:dyDescent="0.25">
      <c r="B22" s="4" t="s">
        <v>61</v>
      </c>
    </row>
    <row r="23" spans="2:11" x14ac:dyDescent="0.25">
      <c r="B23" s="7" t="str">
        <f>"* Core byte offset = PS byte address - "&amp;$C$18&amp;"; AXI AWADDR/ARADDR are 16-bit and decode 0x0000 ~ 0x014F (Core717 spec 7.1)."</f>
        <v>* Core byte offset = PS byte address - 0x60000000; AXI AWADDR/ARADDR are 16-bit and decode 0x0000 ~ 0x014F (Core717 spec 7.1).</v>
      </c>
    </row>
    <row r="24" spans="2:11" x14ac:dyDescent="0.25">
      <c r="B24" s="7" t="s">
        <v>62</v>
      </c>
    </row>
    <row r="25" spans="2:11" x14ac:dyDescent="0.25">
      <c r="B25" s="7" t="s">
        <v>63</v>
      </c>
    </row>
    <row r="26" spans="2:11" x14ac:dyDescent="0.25">
      <c r="B26" s="7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5"/>
  <sheetViews>
    <sheetView tabSelected="1" zoomScale="85" workbookViewId="0">
      <pane xSplit="3" ySplit="4" topLeftCell="D5" activePane="bottomRight" state="frozen"/>
      <selection pane="topRight"/>
      <selection pane="bottomLeft"/>
      <selection pane="bottomRight" activeCell="K34" activeCellId="1" sqref="J33 K34"/>
    </sheetView>
  </sheetViews>
  <sheetFormatPr defaultRowHeight="15" x14ac:dyDescent="0.25"/>
  <cols>
    <col min="1" max="1" width="10.42578125" customWidth="1"/>
    <col min="2" max="2" width="5.42578125" customWidth="1"/>
    <col min="3" max="3" width="24" customWidth="1"/>
    <col min="4" max="11" width="9.42578125" customWidth="1"/>
    <col min="12" max="12" width="46" customWidth="1"/>
    <col min="13" max="13" width="40" customWidth="1"/>
    <col min="14" max="14" width="9.42578125" customWidth="1"/>
    <col min="15" max="15" width="10" customWidth="1"/>
    <col min="16" max="16" width="8" customWidth="1"/>
    <col min="17" max="17" width="7" customWidth="1"/>
    <col min="18" max="18" width="14" customWidth="1"/>
  </cols>
  <sheetData>
    <row r="1" spans="1:18" x14ac:dyDescent="0.25">
      <c r="A1" s="33" t="s">
        <v>65</v>
      </c>
      <c r="B1" s="33" t="s">
        <v>66</v>
      </c>
      <c r="C1" s="33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33" t="s">
        <v>76</v>
      </c>
      <c r="M1" s="33" t="s">
        <v>77</v>
      </c>
      <c r="N1" s="36" t="str">
        <f>"ARINC (Base address: "&amp;Module_Address_Usage!$C$2&amp;")"</f>
        <v>ARINC (Base address: 0x40000000)</v>
      </c>
      <c r="O1" s="37"/>
      <c r="P1" s="37"/>
      <c r="Q1" s="37"/>
      <c r="R1" s="38"/>
    </row>
    <row r="2" spans="1:18" x14ac:dyDescent="0.25">
      <c r="A2" s="30"/>
      <c r="B2" s="30"/>
      <c r="C2" s="30"/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 s="1" t="s">
        <v>84</v>
      </c>
      <c r="K2" s="1" t="s">
        <v>85</v>
      </c>
      <c r="L2" s="30"/>
      <c r="M2" s="30"/>
      <c r="N2" s="39"/>
      <c r="O2" s="40"/>
      <c r="P2" s="40"/>
      <c r="Q2" s="40"/>
      <c r="R2" s="41"/>
    </row>
    <row r="3" spans="1:18" x14ac:dyDescent="0.25">
      <c r="A3" s="30"/>
      <c r="B3" s="30"/>
      <c r="C3" s="30"/>
      <c r="D3" s="1" t="s">
        <v>86</v>
      </c>
      <c r="E3" s="1" t="s">
        <v>87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92</v>
      </c>
      <c r="K3" s="1" t="s">
        <v>93</v>
      </c>
      <c r="L3" s="30"/>
      <c r="M3" s="30"/>
      <c r="N3" s="33" t="s">
        <v>94</v>
      </c>
      <c r="O3" s="25"/>
      <c r="P3" s="33" t="s">
        <v>95</v>
      </c>
      <c r="Q3" s="33" t="s">
        <v>33</v>
      </c>
      <c r="R3" s="33" t="s">
        <v>96</v>
      </c>
    </row>
    <row r="4" spans="1:18" x14ac:dyDescent="0.25">
      <c r="A4" s="34"/>
      <c r="B4" s="34"/>
      <c r="C4" s="34"/>
      <c r="D4" s="1" t="s">
        <v>97</v>
      </c>
      <c r="E4" s="1" t="s">
        <v>98</v>
      </c>
      <c r="F4" s="1" t="s">
        <v>99</v>
      </c>
      <c r="G4" s="1" t="s">
        <v>100</v>
      </c>
      <c r="H4" s="1" t="s">
        <v>101</v>
      </c>
      <c r="I4" s="1" t="s">
        <v>102</v>
      </c>
      <c r="J4" s="1" t="s">
        <v>103</v>
      </c>
      <c r="K4" s="1" t="s">
        <v>104</v>
      </c>
      <c r="L4" s="34"/>
      <c r="M4" s="34"/>
      <c r="N4" s="1" t="s">
        <v>105</v>
      </c>
      <c r="O4" s="1" t="s">
        <v>106</v>
      </c>
      <c r="P4" s="34"/>
      <c r="Q4" s="34"/>
      <c r="R4" s="34"/>
    </row>
    <row r="5" spans="1:18" x14ac:dyDescent="0.25">
      <c r="A5" s="35"/>
      <c r="B5" s="35"/>
      <c r="C5" s="35"/>
      <c r="D5" s="35" t="s">
        <v>107</v>
      </c>
      <c r="E5" s="37"/>
      <c r="F5" s="37"/>
      <c r="G5" s="37"/>
      <c r="H5" s="37"/>
      <c r="I5" s="37"/>
      <c r="J5" s="37"/>
      <c r="K5" s="38"/>
      <c r="L5" s="42" t="str">
        <f>"Module word address : "&amp;Module_Address_Usage!$C$4&amp;" ~ "&amp;Module_Address_Usage!$D$4&amp;" (local 0x00 ~ 0x"&amp;DEC2HEX(HEX2DEC(MID(Module_Address_Usage!$D$4,3,5))-HEX2DEC(MID(Module_Address_Usage!$C$4,3,5)),2)&amp;")"&amp;CHAR(10)&amp;"PS byte address : "&amp;Module_Address_Usage!$I$4&amp;" ~ "&amp;Module_Address_Usage!$J$4</f>
        <v>Module word address : 0x00000 ~ 0x0007F (local 0x00 ~ 0x7F)
PS byte address : 0x4000_0000 ~ 0x4000_01FF</v>
      </c>
      <c r="M5" s="35"/>
      <c r="N5" s="35"/>
      <c r="O5" s="35"/>
      <c r="P5" s="35"/>
      <c r="Q5" s="35"/>
      <c r="R5" s="35"/>
    </row>
    <row r="6" spans="1:18" x14ac:dyDescent="0.25">
      <c r="A6" s="30"/>
      <c r="B6" s="30"/>
      <c r="C6" s="30"/>
      <c r="D6" s="43"/>
      <c r="E6" s="44"/>
      <c r="F6" s="44"/>
      <c r="G6" s="44"/>
      <c r="H6" s="44"/>
      <c r="I6" s="44"/>
      <c r="J6" s="44"/>
      <c r="K6" s="45"/>
      <c r="L6" s="30"/>
      <c r="M6" s="30"/>
      <c r="N6" s="30"/>
      <c r="O6" s="30"/>
      <c r="P6" s="30"/>
      <c r="Q6" s="30"/>
      <c r="R6" s="30"/>
    </row>
    <row r="7" spans="1:18" x14ac:dyDescent="0.25">
      <c r="A7" s="30"/>
      <c r="B7" s="30"/>
      <c r="C7" s="30"/>
      <c r="D7" s="43"/>
      <c r="E7" s="44"/>
      <c r="F7" s="44"/>
      <c r="G7" s="44"/>
      <c r="H7" s="44"/>
      <c r="I7" s="44"/>
      <c r="J7" s="44"/>
      <c r="K7" s="45"/>
      <c r="L7" s="30"/>
      <c r="M7" s="30"/>
      <c r="N7" s="30"/>
      <c r="O7" s="30"/>
      <c r="P7" s="30"/>
      <c r="Q7" s="30"/>
      <c r="R7" s="30"/>
    </row>
    <row r="8" spans="1:18" x14ac:dyDescent="0.25">
      <c r="A8" s="34"/>
      <c r="B8" s="34"/>
      <c r="C8" s="34"/>
      <c r="D8" s="39"/>
      <c r="E8" s="40"/>
      <c r="F8" s="40"/>
      <c r="G8" s="40"/>
      <c r="H8" s="40"/>
      <c r="I8" s="40"/>
      <c r="J8" s="40"/>
      <c r="K8" s="41"/>
      <c r="L8" s="34"/>
      <c r="M8" s="34"/>
      <c r="N8" s="34"/>
      <c r="O8" s="34"/>
      <c r="P8" s="34"/>
      <c r="Q8" s="34"/>
      <c r="R8" s="34"/>
    </row>
    <row r="9" spans="1:18" ht="20.100000000000001" customHeight="1" x14ac:dyDescent="0.25">
      <c r="A9" s="29" t="s">
        <v>40</v>
      </c>
      <c r="B9" s="9" t="s">
        <v>49</v>
      </c>
      <c r="C9" s="29" t="s">
        <v>108</v>
      </c>
      <c r="D9" s="21"/>
      <c r="E9" s="21"/>
      <c r="F9" s="21"/>
      <c r="G9" s="21"/>
      <c r="H9" s="21"/>
      <c r="I9" s="21"/>
      <c r="J9" s="21"/>
      <c r="K9" s="21"/>
      <c r="L9" s="32" t="s">
        <v>109</v>
      </c>
      <c r="M9" s="32" t="s">
        <v>110</v>
      </c>
      <c r="N9" s="29" t="str">
        <f>CONCATENATE("0x",DEC2HEX(HEX2DEC(MID(Module_Address_Usage!$C$4,3,5))+HEX2DEC(MID($A9,3,5)),5))</f>
        <v>0x00000</v>
      </c>
      <c r="O9" s="9" t="str">
        <f>CONCATENATE("0x",DEC2HEX(HEX2DEC(MID($N$9,3,5))*4+3,6))</f>
        <v>0x000003</v>
      </c>
      <c r="P9" s="9" t="s">
        <v>111</v>
      </c>
      <c r="Q9" s="9" t="s">
        <v>49</v>
      </c>
      <c r="R9" s="29" t="str">
        <f>CONCATENATE("0x",LEFT(DEC2HEX(HEX2DEC(MID(Module_Address_Usage!$C$2,3,8))+HEX2DEC(MID($N$9,3,5))*4+0,8),4),"_",RIGHT(DEC2HEX(HEX2DEC(MID(Module_Address_Usage!$C$2,3,8))+HEX2DEC(MID($N$9,3,5))*4+0,8),4))</f>
        <v>0x4000_0000</v>
      </c>
    </row>
    <row r="10" spans="1:18" ht="20.100000000000001" customHeight="1" x14ac:dyDescent="0.25">
      <c r="A10" s="30"/>
      <c r="B10" s="2" t="s">
        <v>49</v>
      </c>
      <c r="C10" s="30"/>
      <c r="D10" s="19"/>
      <c r="E10" s="19"/>
      <c r="F10" s="19"/>
      <c r="G10" s="19"/>
      <c r="H10" s="19"/>
      <c r="I10" s="19"/>
      <c r="J10" s="19"/>
      <c r="K10" s="19"/>
      <c r="L10" s="30"/>
      <c r="M10" s="30"/>
      <c r="N10" s="30"/>
      <c r="O10" s="2" t="str">
        <f>CONCATENATE("0x",DEC2HEX(HEX2DEC(MID($N$9,3,5))*4+2,6))</f>
        <v>0x000002</v>
      </c>
      <c r="P10" s="2" t="s">
        <v>111</v>
      </c>
      <c r="Q10" s="2" t="s">
        <v>49</v>
      </c>
      <c r="R10" s="30"/>
    </row>
    <row r="11" spans="1:18" ht="20.100000000000001" customHeight="1" x14ac:dyDescent="0.25">
      <c r="A11" s="30"/>
      <c r="B11" s="2" t="s">
        <v>49</v>
      </c>
      <c r="C11" s="30"/>
      <c r="D11" s="19"/>
      <c r="E11" s="19"/>
      <c r="F11" s="19"/>
      <c r="G11" s="19"/>
      <c r="H11" s="19"/>
      <c r="I11" s="19"/>
      <c r="J11" s="19"/>
      <c r="K11" s="19"/>
      <c r="L11" s="30"/>
      <c r="M11" s="30"/>
      <c r="N11" s="30"/>
      <c r="O11" s="2" t="str">
        <f>CONCATENATE("0x",DEC2HEX(HEX2DEC(MID($N$9,3,5))*4+1,6))</f>
        <v>0x000001</v>
      </c>
      <c r="P11" s="2" t="s">
        <v>111</v>
      </c>
      <c r="Q11" s="2" t="s">
        <v>49</v>
      </c>
      <c r="R11" s="30"/>
    </row>
    <row r="12" spans="1:18" ht="20.100000000000001" customHeight="1" x14ac:dyDescent="0.25">
      <c r="A12" s="31"/>
      <c r="B12" s="11" t="s">
        <v>112</v>
      </c>
      <c r="C12" s="31"/>
      <c r="D12" s="20"/>
      <c r="E12" s="20"/>
      <c r="F12" s="20"/>
      <c r="G12" s="20"/>
      <c r="H12" s="20"/>
      <c r="I12" s="20"/>
      <c r="J12" s="20"/>
      <c r="K12" s="11" t="s">
        <v>108</v>
      </c>
      <c r="L12" s="31"/>
      <c r="M12" s="31"/>
      <c r="N12" s="31"/>
      <c r="O12" s="11" t="str">
        <f>CONCATENATE("0x",DEC2HEX(HEX2DEC(MID($N$9,3,5))*4+0,6))</f>
        <v>0x000000</v>
      </c>
      <c r="P12" s="11" t="s">
        <v>113</v>
      </c>
      <c r="Q12" s="11" t="s">
        <v>42</v>
      </c>
      <c r="R12" s="31"/>
    </row>
    <row r="13" spans="1:18" ht="20.100000000000001" customHeight="1" x14ac:dyDescent="0.25">
      <c r="A13" s="29" t="s">
        <v>114</v>
      </c>
      <c r="B13" s="9" t="s">
        <v>49</v>
      </c>
      <c r="C13" s="29" t="s">
        <v>505</v>
      </c>
      <c r="D13" s="21"/>
      <c r="E13" s="21"/>
      <c r="F13" s="21"/>
      <c r="G13" s="21"/>
      <c r="H13" s="21"/>
      <c r="I13" s="21"/>
      <c r="J13" s="21"/>
      <c r="K13" s="21"/>
      <c r="L13" s="32" t="s">
        <v>506</v>
      </c>
      <c r="M13" s="32" t="s">
        <v>115</v>
      </c>
      <c r="N13" s="29" t="str">
        <f>CONCATENATE("0x",DEC2HEX(HEX2DEC(MID(Module_Address_Usage!$C$4,3,5))+HEX2DEC(MID($A13,3,5)),5))</f>
        <v>0x00001</v>
      </c>
      <c r="O13" s="9" t="str">
        <f>CONCATENATE("0x",DEC2HEX(HEX2DEC(MID($N$13,3,5))*4+3,6))</f>
        <v>0x000007</v>
      </c>
      <c r="P13" s="9" t="s">
        <v>111</v>
      </c>
      <c r="Q13" s="9" t="s">
        <v>49</v>
      </c>
      <c r="R13" s="29" t="str">
        <f>CONCATENATE("0x",LEFT(DEC2HEX(HEX2DEC(MID(Module_Address_Usage!$C$2,3,8))+HEX2DEC(MID($N$13,3,5))*4+0,8),4),"_",RIGHT(DEC2HEX(HEX2DEC(MID(Module_Address_Usage!$C$2,3,8))+HEX2DEC(MID($N$13,3,5))*4+0,8),4))</f>
        <v>0x4000_0004</v>
      </c>
    </row>
    <row r="14" spans="1:18" ht="20.100000000000001" customHeight="1" x14ac:dyDescent="0.25">
      <c r="A14" s="30"/>
      <c r="B14" s="2" t="s">
        <v>49</v>
      </c>
      <c r="C14" s="30"/>
      <c r="D14" s="19"/>
      <c r="E14" s="19"/>
      <c r="F14" s="19"/>
      <c r="G14" s="19"/>
      <c r="H14" s="19"/>
      <c r="I14" s="19"/>
      <c r="J14" s="19"/>
      <c r="K14" s="19"/>
      <c r="L14" s="30"/>
      <c r="M14" s="30"/>
      <c r="N14" s="30"/>
      <c r="O14" s="2" t="str">
        <f>CONCATENATE("0x",DEC2HEX(HEX2DEC(MID($N$13,3,5))*4+2,6))</f>
        <v>0x000006</v>
      </c>
      <c r="P14" s="2" t="s">
        <v>111</v>
      </c>
      <c r="Q14" s="2" t="s">
        <v>49</v>
      </c>
      <c r="R14" s="30"/>
    </row>
    <row r="15" spans="1:18" ht="20.100000000000001" customHeight="1" x14ac:dyDescent="0.25">
      <c r="A15" s="30"/>
      <c r="B15" s="2" t="s">
        <v>49</v>
      </c>
      <c r="C15" s="30"/>
      <c r="D15" s="19"/>
      <c r="E15" s="19"/>
      <c r="F15" s="19"/>
      <c r="G15" s="19"/>
      <c r="H15" s="19"/>
      <c r="I15" s="19"/>
      <c r="J15" s="19"/>
      <c r="K15" s="19"/>
      <c r="L15" s="30"/>
      <c r="M15" s="30"/>
      <c r="N15" s="30"/>
      <c r="O15" s="2" t="str">
        <f>CONCATENATE("0x",DEC2HEX(HEX2DEC(MID($N$13,3,5))*4+1,6))</f>
        <v>0x000005</v>
      </c>
      <c r="P15" s="2" t="s">
        <v>111</v>
      </c>
      <c r="Q15" s="2" t="s">
        <v>49</v>
      </c>
      <c r="R15" s="30"/>
    </row>
    <row r="16" spans="1:18" ht="20.100000000000001" customHeight="1" x14ac:dyDescent="0.25">
      <c r="A16" s="31"/>
      <c r="B16" s="11" t="s">
        <v>112</v>
      </c>
      <c r="C16" s="31"/>
      <c r="D16" s="20"/>
      <c r="E16" s="20"/>
      <c r="F16" s="20"/>
      <c r="G16" s="20"/>
      <c r="H16" s="20"/>
      <c r="I16" s="20"/>
      <c r="J16" s="20"/>
      <c r="K16" s="11" t="s">
        <v>505</v>
      </c>
      <c r="L16" s="31"/>
      <c r="M16" s="31"/>
      <c r="N16" s="31"/>
      <c r="O16" s="11" t="str">
        <f>CONCATENATE("0x",DEC2HEX(HEX2DEC(MID($N$13,3,5))*4+0,6))</f>
        <v>0x000004</v>
      </c>
      <c r="P16" s="11" t="s">
        <v>113</v>
      </c>
      <c r="Q16" s="11" t="s">
        <v>42</v>
      </c>
      <c r="R16" s="31"/>
    </row>
    <row r="17" spans="1:18" ht="20.100000000000001" customHeight="1" x14ac:dyDescent="0.25">
      <c r="A17" s="29" t="s">
        <v>116</v>
      </c>
      <c r="B17" s="9" t="s">
        <v>49</v>
      </c>
      <c r="C17" s="29" t="s">
        <v>507</v>
      </c>
      <c r="D17" s="21"/>
      <c r="E17" s="21"/>
      <c r="F17" s="21"/>
      <c r="G17" s="21"/>
      <c r="H17" s="21"/>
      <c r="I17" s="21"/>
      <c r="J17" s="21"/>
      <c r="K17" s="21"/>
      <c r="L17" s="32" t="s">
        <v>508</v>
      </c>
      <c r="M17" s="32" t="s">
        <v>509</v>
      </c>
      <c r="N17" s="29" t="str">
        <f>CONCATENATE("0x",DEC2HEX(HEX2DEC(MID(Module_Address_Usage!$C$4,3,5))+HEX2DEC(MID($A17,3,5)),5))</f>
        <v>0x00002</v>
      </c>
      <c r="O17" s="9" t="str">
        <f>CONCATENATE("0x",DEC2HEX(HEX2DEC(MID($N$17,3,5))*4+3,6))</f>
        <v>0x00000B</v>
      </c>
      <c r="P17" s="9" t="s">
        <v>111</v>
      </c>
      <c r="Q17" s="9" t="s">
        <v>49</v>
      </c>
      <c r="R17" s="29" t="str">
        <f>CONCATENATE("0x",LEFT(DEC2HEX(HEX2DEC(MID(Module_Address_Usage!$C$2,3,8))+HEX2DEC(MID($N$17,3,5))*4+0,8),4),"_",RIGHT(DEC2HEX(HEX2DEC(MID(Module_Address_Usage!$C$2,3,8))+HEX2DEC(MID($N$17,3,5))*4+0,8),4))</f>
        <v>0x4000_0008</v>
      </c>
    </row>
    <row r="18" spans="1:18" ht="20.100000000000001" customHeight="1" x14ac:dyDescent="0.25">
      <c r="A18" s="30"/>
      <c r="B18" s="2" t="s">
        <v>49</v>
      </c>
      <c r="C18" s="30"/>
      <c r="D18" s="19"/>
      <c r="E18" s="19"/>
      <c r="F18" s="19"/>
      <c r="G18" s="19"/>
      <c r="H18" s="19"/>
      <c r="I18" s="19"/>
      <c r="J18" s="19"/>
      <c r="K18" s="19"/>
      <c r="L18" s="30"/>
      <c r="M18" s="30"/>
      <c r="N18" s="30"/>
      <c r="O18" s="2" t="str">
        <f>CONCATENATE("0x",DEC2HEX(HEX2DEC(MID($N$17,3,5))*4+2,6))</f>
        <v>0x00000A</v>
      </c>
      <c r="P18" s="2" t="s">
        <v>111</v>
      </c>
      <c r="Q18" s="2" t="s">
        <v>49</v>
      </c>
      <c r="R18" s="30"/>
    </row>
    <row r="19" spans="1:18" ht="20.100000000000001" customHeight="1" x14ac:dyDescent="0.25">
      <c r="A19" s="30"/>
      <c r="B19" s="2" t="s">
        <v>49</v>
      </c>
      <c r="C19" s="30"/>
      <c r="D19" s="19"/>
      <c r="E19" s="19"/>
      <c r="F19" s="19"/>
      <c r="G19" s="19"/>
      <c r="H19" s="19"/>
      <c r="I19" s="19"/>
      <c r="J19" s="19"/>
      <c r="K19" s="19"/>
      <c r="L19" s="30"/>
      <c r="M19" s="30"/>
      <c r="N19" s="30"/>
      <c r="O19" s="2" t="str">
        <f>CONCATENATE("0x",DEC2HEX(HEX2DEC(MID($N$17,3,5))*4+1,6))</f>
        <v>0x000009</v>
      </c>
      <c r="P19" s="2" t="s">
        <v>111</v>
      </c>
      <c r="Q19" s="2" t="s">
        <v>49</v>
      </c>
      <c r="R19" s="30"/>
    </row>
    <row r="20" spans="1:18" ht="20.100000000000001" customHeight="1" x14ac:dyDescent="0.25">
      <c r="A20" s="31"/>
      <c r="B20" s="11" t="s">
        <v>510</v>
      </c>
      <c r="C20" s="31"/>
      <c r="D20" s="20"/>
      <c r="E20" s="20"/>
      <c r="F20" s="20"/>
      <c r="G20" s="20"/>
      <c r="H20" s="20"/>
      <c r="I20" s="20"/>
      <c r="J20" s="20"/>
      <c r="K20" s="11" t="s">
        <v>511</v>
      </c>
      <c r="L20" s="31"/>
      <c r="M20" s="31"/>
      <c r="N20" s="31"/>
      <c r="O20" s="11" t="str">
        <f>CONCATENATE("0x",DEC2HEX(HEX2DEC(MID($N$17,3,5))*4+0,6))</f>
        <v>0x000008</v>
      </c>
      <c r="P20" s="11" t="s">
        <v>512</v>
      </c>
      <c r="Q20" s="11" t="s">
        <v>42</v>
      </c>
      <c r="R20" s="31"/>
    </row>
    <row r="21" spans="1:18" ht="20.100000000000001" customHeight="1" x14ac:dyDescent="0.25">
      <c r="A21" s="29" t="s">
        <v>117</v>
      </c>
      <c r="B21" s="9" t="s">
        <v>49</v>
      </c>
      <c r="C21" s="29" t="s">
        <v>513</v>
      </c>
      <c r="D21" s="21"/>
      <c r="E21" s="21"/>
      <c r="F21" s="21"/>
      <c r="G21" s="21"/>
      <c r="H21" s="21"/>
      <c r="I21" s="21"/>
      <c r="J21" s="21"/>
      <c r="K21" s="21"/>
      <c r="L21" s="32" t="s">
        <v>514</v>
      </c>
      <c r="M21" s="32" t="s">
        <v>515</v>
      </c>
      <c r="N21" s="29" t="str">
        <f>CONCATENATE("0x",DEC2HEX(HEX2DEC(MID(Module_Address_Usage!$C$4,3,5))+HEX2DEC(MID($A21,3,5)),5))</f>
        <v>0x00003</v>
      </c>
      <c r="O21" s="9" t="str">
        <f>CONCATENATE("0x",DEC2HEX(HEX2DEC(MID($N$21,3,5))*4+3,6))</f>
        <v>0x00000F</v>
      </c>
      <c r="P21" s="9" t="s">
        <v>111</v>
      </c>
      <c r="Q21" s="9" t="s">
        <v>49</v>
      </c>
      <c r="R21" s="29" t="str">
        <f>CONCATENATE("0x",LEFT(DEC2HEX(HEX2DEC(MID(Module_Address_Usage!$C$2,3,8))+HEX2DEC(MID($N$21,3,5))*4+0,8),4),"_",RIGHT(DEC2HEX(HEX2DEC(MID(Module_Address_Usage!$C$2,3,8))+HEX2DEC(MID($N$21,3,5))*4+0,8),4))</f>
        <v>0x4000_000C</v>
      </c>
    </row>
    <row r="22" spans="1:18" ht="20.100000000000001" customHeight="1" x14ac:dyDescent="0.25">
      <c r="A22" s="30"/>
      <c r="B22" s="2" t="s">
        <v>49</v>
      </c>
      <c r="C22" s="30"/>
      <c r="D22" s="19"/>
      <c r="E22" s="19"/>
      <c r="F22" s="19"/>
      <c r="G22" s="19"/>
      <c r="H22" s="19"/>
      <c r="I22" s="19"/>
      <c r="J22" s="19"/>
      <c r="K22" s="19"/>
      <c r="L22" s="30"/>
      <c r="M22" s="30"/>
      <c r="N22" s="30"/>
      <c r="O22" s="2" t="str">
        <f>CONCATENATE("0x",DEC2HEX(HEX2DEC(MID($N$21,3,5))*4+2,6))</f>
        <v>0x00000E</v>
      </c>
      <c r="P22" s="2" t="s">
        <v>111</v>
      </c>
      <c r="Q22" s="2" t="s">
        <v>49</v>
      </c>
      <c r="R22" s="30"/>
    </row>
    <row r="23" spans="1:18" ht="20.100000000000001" customHeight="1" x14ac:dyDescent="0.25">
      <c r="A23" s="30"/>
      <c r="B23" s="2" t="s">
        <v>49</v>
      </c>
      <c r="C23" s="30"/>
      <c r="D23" s="19"/>
      <c r="E23" s="19"/>
      <c r="F23" s="19"/>
      <c r="G23" s="19"/>
      <c r="H23" s="19"/>
      <c r="I23" s="19"/>
      <c r="J23" s="19"/>
      <c r="K23" s="19"/>
      <c r="L23" s="30"/>
      <c r="M23" s="30"/>
      <c r="N23" s="30"/>
      <c r="O23" s="2" t="str">
        <f>CONCATENATE("0x",DEC2HEX(HEX2DEC(MID($N$21,3,5))*4+1,6))</f>
        <v>0x00000D</v>
      </c>
      <c r="P23" s="2" t="s">
        <v>111</v>
      </c>
      <c r="Q23" s="2" t="s">
        <v>49</v>
      </c>
      <c r="R23" s="30"/>
    </row>
    <row r="24" spans="1:18" ht="20.100000000000001" customHeight="1" x14ac:dyDescent="0.25">
      <c r="A24" s="31"/>
      <c r="B24" s="11" t="s">
        <v>118</v>
      </c>
      <c r="C24" s="31"/>
      <c r="D24" s="20"/>
      <c r="E24" s="20"/>
      <c r="F24" s="20"/>
      <c r="G24" s="20"/>
      <c r="H24" s="20"/>
      <c r="I24" s="20"/>
      <c r="J24" s="20"/>
      <c r="K24" s="11" t="s">
        <v>516</v>
      </c>
      <c r="L24" s="31"/>
      <c r="M24" s="31"/>
      <c r="N24" s="31"/>
      <c r="O24" s="11" t="str">
        <f>CONCATENATE("0x",DEC2HEX(HEX2DEC(MID($N$21,3,5))*4+0,6))</f>
        <v>0x00000C</v>
      </c>
      <c r="P24" s="11" t="s">
        <v>111</v>
      </c>
      <c r="Q24" s="11" t="s">
        <v>42</v>
      </c>
      <c r="R24" s="31"/>
    </row>
    <row r="25" spans="1:18" ht="27" customHeight="1" x14ac:dyDescent="0.25">
      <c r="A25" s="8" t="s">
        <v>119</v>
      </c>
      <c r="B25" s="8" t="s">
        <v>49</v>
      </c>
      <c r="C25" s="8" t="s">
        <v>47</v>
      </c>
      <c r="D25" s="26"/>
      <c r="E25" s="27"/>
      <c r="F25" s="27"/>
      <c r="G25" s="27"/>
      <c r="H25" s="27"/>
      <c r="I25" s="27"/>
      <c r="J25" s="27"/>
      <c r="K25" s="28"/>
      <c r="L25" s="10" t="s">
        <v>47</v>
      </c>
      <c r="M25" s="10" t="s">
        <v>120</v>
      </c>
      <c r="N25" s="8" t="str">
        <f>CONCATENATE("0x",DEC2HEX(HEX2DEC(MID(Module_Address_Usage!$C$4,3,5))+HEX2DEC(MID($A25,3,5)),5))&amp;CHAR(10)&amp;"~ "&amp;CONCATENATE("0x",DEC2HEX(HEX2DEC(MID(Module_Address_Usage!$C$4,3,5))+HEX2DEC(MID($A25,13,5)),5))</f>
        <v>0x00004
~ 0x0007F</v>
      </c>
      <c r="O25" s="8" t="str">
        <f>CONCATENATE("0x",DEC2HEX(HEX2DEC(MID(CONCATENATE("0x",DEC2HEX(HEX2DEC(MID(Module_Address_Usage!$C$4,3,5))+HEX2DEC(MID($A25,3,5)),5)),3,5))*4+0,6))&amp;CHAR(10)&amp;"~ "&amp;CONCATENATE("0x",DEC2HEX(HEX2DEC(MID(CONCATENATE("0x",DEC2HEX(HEX2DEC(MID(Module_Address_Usage!$C$4,3,5))+HEX2DEC(MID($A25,13,5)),5)),3,5))*4+3,6))</f>
        <v>0x000010
~ 0x0001FF</v>
      </c>
      <c r="P25" s="8" t="s">
        <v>111</v>
      </c>
      <c r="Q25" s="8" t="s">
        <v>49</v>
      </c>
      <c r="R25" s="8" t="str">
        <f>CONCATENATE("0x",LEFT(DEC2HEX(HEX2DEC(MID(Module_Address_Usage!$C$2,3,8))+HEX2DEC(MID(CONCATENATE("0x",DEC2HEX(HEX2DEC(MID(Module_Address_Usage!$C$4,3,5))+HEX2DEC(MID($A25,3,5)),5)),3,5))*4+0,8),4),"_",RIGHT(DEC2HEX(HEX2DEC(MID(Module_Address_Usage!$C$2,3,8))+HEX2DEC(MID(CONCATENATE("0x",DEC2HEX(HEX2DEC(MID(Module_Address_Usage!$C$4,3,5))+HEX2DEC(MID($A25,3,5)),5)),3,5))*4+0,8),4))&amp;CHAR(10)&amp;"~ "&amp;CONCATENATE("0x",LEFT(DEC2HEX(HEX2DEC(MID(Module_Address_Usage!$C$2,3,8))+HEX2DEC(MID(CONCATENATE("0x",DEC2HEX(HEX2DEC(MID(Module_Address_Usage!$C$4,3,5))+HEX2DEC(MID($A25,13,5)),5)),3,5))*4+3,8),4),"_",RIGHT(DEC2HEX(HEX2DEC(MID(Module_Address_Usage!$C$2,3,8))+HEX2DEC(MID(CONCATENATE("0x",DEC2HEX(HEX2DEC(MID(Module_Address_Usage!$C$4,3,5))+HEX2DEC(MID($A25,13,5)),5)),3,5))*4+3,8),4))</f>
        <v>0x4000_0010
~ 0x4000_01FF</v>
      </c>
    </row>
  </sheetData>
  <mergeCells count="46">
    <mergeCell ref="R5:R8"/>
    <mergeCell ref="M9:M12"/>
    <mergeCell ref="M5:M8"/>
    <mergeCell ref="A21:A24"/>
    <mergeCell ref="C21:C24"/>
    <mergeCell ref="B1:B4"/>
    <mergeCell ref="A17:A20"/>
    <mergeCell ref="M21:M24"/>
    <mergeCell ref="A13:A16"/>
    <mergeCell ref="C13:C16"/>
    <mergeCell ref="M17:M20"/>
    <mergeCell ref="A1:A4"/>
    <mergeCell ref="C1:C4"/>
    <mergeCell ref="M1:M4"/>
    <mergeCell ref="C5:C8"/>
    <mergeCell ref="L13:L16"/>
    <mergeCell ref="C17:C20"/>
    <mergeCell ref="L5:L8"/>
    <mergeCell ref="D5:K8"/>
    <mergeCell ref="R3:R4"/>
    <mergeCell ref="L1:L4"/>
    <mergeCell ref="A5:A8"/>
    <mergeCell ref="L9:L12"/>
    <mergeCell ref="B5:B8"/>
    <mergeCell ref="N9:N12"/>
    <mergeCell ref="A9:A12"/>
    <mergeCell ref="Q3:Q4"/>
    <mergeCell ref="P5:P8"/>
    <mergeCell ref="C9:C12"/>
    <mergeCell ref="O5:O8"/>
    <mergeCell ref="Q5:Q8"/>
    <mergeCell ref="N3:O3"/>
    <mergeCell ref="N1:R2"/>
    <mergeCell ref="N5:N8"/>
    <mergeCell ref="P3:P4"/>
    <mergeCell ref="D25:K25"/>
    <mergeCell ref="R9:R12"/>
    <mergeCell ref="L21:L24"/>
    <mergeCell ref="L17:L20"/>
    <mergeCell ref="R13:R16"/>
    <mergeCell ref="N17:N20"/>
    <mergeCell ref="N21:N24"/>
    <mergeCell ref="R21:R24"/>
    <mergeCell ref="M13:M16"/>
    <mergeCell ref="R17:R20"/>
    <mergeCell ref="N13:N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3"/>
  <sheetViews>
    <sheetView zoomScale="85" workbookViewId="0">
      <pane xSplit="3" ySplit="4" topLeftCell="D32" activePane="bottomRight" state="frozen"/>
      <selection pane="topRight"/>
      <selection pane="bottomLeft"/>
      <selection pane="bottomRight" sqref="A1:A4"/>
    </sheetView>
  </sheetViews>
  <sheetFormatPr defaultRowHeight="15" x14ac:dyDescent="0.25"/>
  <cols>
    <col min="1" max="1" width="10.42578125" customWidth="1"/>
    <col min="2" max="2" width="5.42578125" customWidth="1"/>
    <col min="3" max="3" width="24" customWidth="1"/>
    <col min="4" max="11" width="9.42578125" customWidth="1"/>
    <col min="12" max="12" width="46" customWidth="1"/>
    <col min="13" max="13" width="40" customWidth="1"/>
    <col min="14" max="14" width="9.42578125" customWidth="1"/>
    <col min="15" max="15" width="10" customWidth="1"/>
    <col min="16" max="16" width="8" customWidth="1"/>
    <col min="17" max="17" width="7" customWidth="1"/>
    <col min="18" max="18" width="14" customWidth="1"/>
  </cols>
  <sheetData>
    <row r="1" spans="1:18" x14ac:dyDescent="0.25">
      <c r="A1" s="33" t="s">
        <v>65</v>
      </c>
      <c r="B1" s="33" t="s">
        <v>66</v>
      </c>
      <c r="C1" s="33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33" t="s">
        <v>76</v>
      </c>
      <c r="M1" s="33" t="s">
        <v>77</v>
      </c>
      <c r="N1" s="36" t="str">
        <f>"ARINC (Base address: "&amp;Module_Address_Usage!$C$2&amp;")"</f>
        <v>ARINC (Base address: 0x40000000)</v>
      </c>
      <c r="O1" s="37"/>
      <c r="P1" s="37"/>
      <c r="Q1" s="37"/>
      <c r="R1" s="38"/>
    </row>
    <row r="2" spans="1:18" x14ac:dyDescent="0.25">
      <c r="A2" s="30"/>
      <c r="B2" s="30"/>
      <c r="C2" s="30"/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 s="1" t="s">
        <v>84</v>
      </c>
      <c r="K2" s="1" t="s">
        <v>85</v>
      </c>
      <c r="L2" s="30"/>
      <c r="M2" s="30"/>
      <c r="N2" s="39"/>
      <c r="O2" s="40"/>
      <c r="P2" s="40"/>
      <c r="Q2" s="40"/>
      <c r="R2" s="41"/>
    </row>
    <row r="3" spans="1:18" x14ac:dyDescent="0.25">
      <c r="A3" s="30"/>
      <c r="B3" s="30"/>
      <c r="C3" s="30"/>
      <c r="D3" s="1" t="s">
        <v>86</v>
      </c>
      <c r="E3" s="1" t="s">
        <v>87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92</v>
      </c>
      <c r="K3" s="1" t="s">
        <v>93</v>
      </c>
      <c r="L3" s="30"/>
      <c r="M3" s="30"/>
      <c r="N3" s="33" t="s">
        <v>94</v>
      </c>
      <c r="O3" s="25"/>
      <c r="P3" s="33" t="s">
        <v>95</v>
      </c>
      <c r="Q3" s="33" t="s">
        <v>33</v>
      </c>
      <c r="R3" s="33" t="s">
        <v>96</v>
      </c>
    </row>
    <row r="4" spans="1:18" x14ac:dyDescent="0.25">
      <c r="A4" s="34"/>
      <c r="B4" s="34"/>
      <c r="C4" s="34"/>
      <c r="D4" s="1" t="s">
        <v>97</v>
      </c>
      <c r="E4" s="1" t="s">
        <v>98</v>
      </c>
      <c r="F4" s="1" t="s">
        <v>99</v>
      </c>
      <c r="G4" s="1" t="s">
        <v>100</v>
      </c>
      <c r="H4" s="1" t="s">
        <v>101</v>
      </c>
      <c r="I4" s="1" t="s">
        <v>102</v>
      </c>
      <c r="J4" s="1" t="s">
        <v>103</v>
      </c>
      <c r="K4" s="1" t="s">
        <v>104</v>
      </c>
      <c r="L4" s="34"/>
      <c r="M4" s="34"/>
      <c r="N4" s="1" t="s">
        <v>105</v>
      </c>
      <c r="O4" s="1" t="s">
        <v>106</v>
      </c>
      <c r="P4" s="34"/>
      <c r="Q4" s="34"/>
      <c r="R4" s="34"/>
    </row>
    <row r="5" spans="1:18" x14ac:dyDescent="0.25">
      <c r="A5" s="35"/>
      <c r="B5" s="35"/>
      <c r="C5" s="35"/>
      <c r="D5" s="35" t="s">
        <v>121</v>
      </c>
      <c r="E5" s="37"/>
      <c r="F5" s="37"/>
      <c r="G5" s="37"/>
      <c r="H5" s="37"/>
      <c r="I5" s="37"/>
      <c r="J5" s="37"/>
      <c r="K5" s="38"/>
      <c r="L5" s="42" t="str">
        <f>"Module word address : "&amp;Module_Address_Usage!$C$5&amp;" ~ "&amp;Module_Address_Usage!$D$5&amp;" (local 0x00 ~ 0x"&amp;DEC2HEX(HEX2DEC(MID(Module_Address_Usage!$D$5,3,5))-HEX2DEC(MID(Module_Address_Usage!$C$5,3,5)),2)&amp;")"&amp;CHAR(10)&amp;"PS byte address : "&amp;Module_Address_Usage!$I$5&amp;" ~ "&amp;Module_Address_Usage!$J$5</f>
        <v>Module word address : 0x00080 ~ 0x000FF (local 0x00 ~ 0x7F)
PS byte address : 0x4000_0200 ~ 0x4000_03FF</v>
      </c>
      <c r="M5" s="35"/>
      <c r="N5" s="35"/>
      <c r="O5" s="35"/>
      <c r="P5" s="35"/>
      <c r="Q5" s="35"/>
      <c r="R5" s="35"/>
    </row>
    <row r="6" spans="1:18" x14ac:dyDescent="0.25">
      <c r="A6" s="30"/>
      <c r="B6" s="30"/>
      <c r="C6" s="30"/>
      <c r="D6" s="43"/>
      <c r="E6" s="44"/>
      <c r="F6" s="44"/>
      <c r="G6" s="44"/>
      <c r="H6" s="44"/>
      <c r="I6" s="44"/>
      <c r="J6" s="44"/>
      <c r="K6" s="45"/>
      <c r="L6" s="30"/>
      <c r="M6" s="30"/>
      <c r="N6" s="30"/>
      <c r="O6" s="30"/>
      <c r="P6" s="30"/>
      <c r="Q6" s="30"/>
      <c r="R6" s="30"/>
    </row>
    <row r="7" spans="1:18" x14ac:dyDescent="0.25">
      <c r="A7" s="30"/>
      <c r="B7" s="30"/>
      <c r="C7" s="30"/>
      <c r="D7" s="43"/>
      <c r="E7" s="44"/>
      <c r="F7" s="44"/>
      <c r="G7" s="44"/>
      <c r="H7" s="44"/>
      <c r="I7" s="44"/>
      <c r="J7" s="44"/>
      <c r="K7" s="45"/>
      <c r="L7" s="30"/>
      <c r="M7" s="30"/>
      <c r="N7" s="30"/>
      <c r="O7" s="30"/>
      <c r="P7" s="30"/>
      <c r="Q7" s="30"/>
      <c r="R7" s="30"/>
    </row>
    <row r="8" spans="1:18" x14ac:dyDescent="0.25">
      <c r="A8" s="34"/>
      <c r="B8" s="34"/>
      <c r="C8" s="34"/>
      <c r="D8" s="39"/>
      <c r="E8" s="40"/>
      <c r="F8" s="40"/>
      <c r="G8" s="40"/>
      <c r="H8" s="40"/>
      <c r="I8" s="40"/>
      <c r="J8" s="40"/>
      <c r="K8" s="41"/>
      <c r="L8" s="34"/>
      <c r="M8" s="34"/>
      <c r="N8" s="34"/>
      <c r="O8" s="34"/>
      <c r="P8" s="34"/>
      <c r="Q8" s="34"/>
      <c r="R8" s="34"/>
    </row>
    <row r="9" spans="1:18" ht="20.100000000000001" customHeight="1" x14ac:dyDescent="0.25">
      <c r="A9" s="29" t="s">
        <v>40</v>
      </c>
      <c r="B9" s="9" t="s">
        <v>49</v>
      </c>
      <c r="C9" s="29" t="s">
        <v>122</v>
      </c>
      <c r="D9" s="21"/>
      <c r="E9" s="21"/>
      <c r="F9" s="21"/>
      <c r="G9" s="21"/>
      <c r="H9" s="21"/>
      <c r="I9" s="21"/>
      <c r="J9" s="21"/>
      <c r="K9" s="21"/>
      <c r="L9" s="32" t="s">
        <v>123</v>
      </c>
      <c r="M9" s="32" t="s">
        <v>124</v>
      </c>
      <c r="N9" s="29" t="str">
        <f>CONCATENATE("0x",DEC2HEX(HEX2DEC(MID(Module_Address_Usage!$C$5,3,5))+HEX2DEC(MID($A9,3,5)),5))</f>
        <v>0x00080</v>
      </c>
      <c r="O9" s="9" t="str">
        <f>CONCATENATE("0x",DEC2HEX(HEX2DEC(MID($N$9,3,5))*4+3,6))</f>
        <v>0x000203</v>
      </c>
      <c r="P9" s="9" t="s">
        <v>111</v>
      </c>
      <c r="Q9" s="9" t="s">
        <v>49</v>
      </c>
      <c r="R9" s="29" t="str">
        <f>CONCATENATE("0x",LEFT(DEC2HEX(HEX2DEC(MID(Module_Address_Usage!$C$2,3,8))+HEX2DEC(MID($N$9,3,5))*4+0,8),4),"_",RIGHT(DEC2HEX(HEX2DEC(MID(Module_Address_Usage!$C$2,3,8))+HEX2DEC(MID($N$9,3,5))*4+0,8),4))</f>
        <v>0x4000_0200</v>
      </c>
    </row>
    <row r="10" spans="1:18" ht="20.100000000000001" customHeight="1" x14ac:dyDescent="0.25">
      <c r="A10" s="30"/>
      <c r="B10" s="2" t="s">
        <v>49</v>
      </c>
      <c r="C10" s="30"/>
      <c r="D10" s="19"/>
      <c r="E10" s="19"/>
      <c r="F10" s="19"/>
      <c r="G10" s="19"/>
      <c r="H10" s="19"/>
      <c r="I10" s="19"/>
      <c r="J10" s="19"/>
      <c r="K10" s="19"/>
      <c r="L10" s="30"/>
      <c r="M10" s="30"/>
      <c r="N10" s="30"/>
      <c r="O10" s="2" t="str">
        <f>CONCATENATE("0x",DEC2HEX(HEX2DEC(MID($N$9,3,5))*4+2,6))</f>
        <v>0x000202</v>
      </c>
      <c r="P10" s="2" t="s">
        <v>111</v>
      </c>
      <c r="Q10" s="2" t="s">
        <v>49</v>
      </c>
      <c r="R10" s="30"/>
    </row>
    <row r="11" spans="1:18" ht="20.100000000000001" customHeight="1" x14ac:dyDescent="0.25">
      <c r="A11" s="30"/>
      <c r="B11" s="2" t="s">
        <v>49</v>
      </c>
      <c r="C11" s="30"/>
      <c r="D11" s="19"/>
      <c r="E11" s="19"/>
      <c r="F11" s="19"/>
      <c r="G11" s="19"/>
      <c r="H11" s="19"/>
      <c r="I11" s="19"/>
      <c r="J11" s="19"/>
      <c r="K11" s="19"/>
      <c r="L11" s="30"/>
      <c r="M11" s="30"/>
      <c r="N11" s="30"/>
      <c r="O11" s="2" t="str">
        <f>CONCATENATE("0x",DEC2HEX(HEX2DEC(MID($N$9,3,5))*4+1,6))</f>
        <v>0x000201</v>
      </c>
      <c r="P11" s="2" t="s">
        <v>111</v>
      </c>
      <c r="Q11" s="2" t="s">
        <v>49</v>
      </c>
      <c r="R11" s="30"/>
    </row>
    <row r="12" spans="1:18" ht="20.100000000000001" customHeight="1" x14ac:dyDescent="0.25">
      <c r="A12" s="31"/>
      <c r="B12" s="11" t="s">
        <v>118</v>
      </c>
      <c r="C12" s="31"/>
      <c r="D12" s="20"/>
      <c r="E12" s="20"/>
      <c r="F12" s="20"/>
      <c r="G12" s="20"/>
      <c r="H12" s="46" t="s">
        <v>125</v>
      </c>
      <c r="I12" s="47"/>
      <c r="J12" s="47"/>
      <c r="K12" s="48"/>
      <c r="L12" s="31"/>
      <c r="M12" s="31"/>
      <c r="N12" s="31"/>
      <c r="O12" s="11" t="str">
        <f>CONCATENATE("0x",DEC2HEX(HEX2DEC(MID($N$9,3,5))*4+0,6))</f>
        <v>0x000200</v>
      </c>
      <c r="P12" s="11" t="s">
        <v>111</v>
      </c>
      <c r="Q12" s="11" t="s">
        <v>42</v>
      </c>
      <c r="R12" s="31"/>
    </row>
    <row r="13" spans="1:18" ht="20.100000000000001" customHeight="1" x14ac:dyDescent="0.25">
      <c r="A13" s="29" t="s">
        <v>114</v>
      </c>
      <c r="B13" s="9" t="s">
        <v>49</v>
      </c>
      <c r="C13" s="29" t="s">
        <v>126</v>
      </c>
      <c r="D13" s="21"/>
      <c r="E13" s="21"/>
      <c r="F13" s="21"/>
      <c r="G13" s="21"/>
      <c r="H13" s="21"/>
      <c r="I13" s="21"/>
      <c r="J13" s="21"/>
      <c r="K13" s="21"/>
      <c r="L13" s="32" t="s">
        <v>127</v>
      </c>
      <c r="M13" s="32" t="s">
        <v>128</v>
      </c>
      <c r="N13" s="29" t="str">
        <f>CONCATENATE("0x",DEC2HEX(HEX2DEC(MID(Module_Address_Usage!$C$5,3,5))+HEX2DEC(MID($A13,3,5)),5))</f>
        <v>0x00081</v>
      </c>
      <c r="O13" s="9" t="str">
        <f>CONCATENATE("0x",DEC2HEX(HEX2DEC(MID($N$13,3,5))*4+3,6))</f>
        <v>0x000207</v>
      </c>
      <c r="P13" s="9" t="s">
        <v>111</v>
      </c>
      <c r="Q13" s="9" t="s">
        <v>49</v>
      </c>
      <c r="R13" s="29" t="str">
        <f>CONCATENATE("0x",LEFT(DEC2HEX(HEX2DEC(MID(Module_Address_Usage!$C$2,3,8))+HEX2DEC(MID($N$13,3,5))*4+0,8),4),"_",RIGHT(DEC2HEX(HEX2DEC(MID(Module_Address_Usage!$C$2,3,8))+HEX2DEC(MID($N$13,3,5))*4+0,8),4))</f>
        <v>0x4000_0204</v>
      </c>
    </row>
    <row r="14" spans="1:18" ht="20.100000000000001" customHeight="1" x14ac:dyDescent="0.25">
      <c r="A14" s="30"/>
      <c r="B14" s="2" t="s">
        <v>49</v>
      </c>
      <c r="C14" s="30"/>
      <c r="D14" s="19"/>
      <c r="E14" s="19"/>
      <c r="F14" s="19"/>
      <c r="G14" s="19"/>
      <c r="H14" s="19"/>
      <c r="I14" s="19"/>
      <c r="J14" s="19"/>
      <c r="K14" s="19"/>
      <c r="L14" s="30"/>
      <c r="M14" s="30"/>
      <c r="N14" s="30"/>
      <c r="O14" s="2" t="str">
        <f>CONCATENATE("0x",DEC2HEX(HEX2DEC(MID($N$13,3,5))*4+2,6))</f>
        <v>0x000206</v>
      </c>
      <c r="P14" s="2" t="s">
        <v>111</v>
      </c>
      <c r="Q14" s="2" t="s">
        <v>49</v>
      </c>
      <c r="R14" s="30"/>
    </row>
    <row r="15" spans="1:18" ht="20.100000000000001" customHeight="1" x14ac:dyDescent="0.25">
      <c r="A15" s="30"/>
      <c r="B15" s="2" t="s">
        <v>49</v>
      </c>
      <c r="C15" s="30"/>
      <c r="D15" s="19"/>
      <c r="E15" s="19"/>
      <c r="F15" s="19"/>
      <c r="G15" s="19"/>
      <c r="H15" s="19"/>
      <c r="I15" s="19"/>
      <c r="J15" s="19"/>
      <c r="K15" s="19"/>
      <c r="L15" s="30"/>
      <c r="M15" s="30"/>
      <c r="N15" s="30"/>
      <c r="O15" s="2" t="str">
        <f>CONCATENATE("0x",DEC2HEX(HEX2DEC(MID($N$13,3,5))*4+1,6))</f>
        <v>0x000205</v>
      </c>
      <c r="P15" s="2" t="s">
        <v>111</v>
      </c>
      <c r="Q15" s="2" t="s">
        <v>49</v>
      </c>
      <c r="R15" s="30"/>
    </row>
    <row r="16" spans="1:18" ht="20.100000000000001" customHeight="1" x14ac:dyDescent="0.25">
      <c r="A16" s="31"/>
      <c r="B16" s="11" t="s">
        <v>118</v>
      </c>
      <c r="C16" s="31"/>
      <c r="D16" s="20"/>
      <c r="E16" s="20"/>
      <c r="F16" s="20"/>
      <c r="G16" s="20"/>
      <c r="H16" s="46" t="s">
        <v>129</v>
      </c>
      <c r="I16" s="47"/>
      <c r="J16" s="47"/>
      <c r="K16" s="48"/>
      <c r="L16" s="31"/>
      <c r="M16" s="31"/>
      <c r="N16" s="31"/>
      <c r="O16" s="11" t="str">
        <f>CONCATENATE("0x",DEC2HEX(HEX2DEC(MID($N$13,3,5))*4+0,6))</f>
        <v>0x000204</v>
      </c>
      <c r="P16" s="11" t="s">
        <v>111</v>
      </c>
      <c r="Q16" s="11" t="s">
        <v>42</v>
      </c>
      <c r="R16" s="31"/>
    </row>
    <row r="17" spans="1:18" ht="20.100000000000001" customHeight="1" x14ac:dyDescent="0.25">
      <c r="A17" s="29" t="s">
        <v>116</v>
      </c>
      <c r="B17" s="9" t="s">
        <v>49</v>
      </c>
      <c r="C17" s="29" t="s">
        <v>130</v>
      </c>
      <c r="D17" s="21"/>
      <c r="E17" s="21"/>
      <c r="F17" s="21"/>
      <c r="G17" s="21"/>
      <c r="H17" s="21"/>
      <c r="I17" s="21"/>
      <c r="J17" s="21"/>
      <c r="K17" s="21"/>
      <c r="L17" s="32" t="s">
        <v>131</v>
      </c>
      <c r="M17" s="32" t="s">
        <v>132</v>
      </c>
      <c r="N17" s="29" t="str">
        <f>CONCATENATE("0x",DEC2HEX(HEX2DEC(MID(Module_Address_Usage!$C$5,3,5))+HEX2DEC(MID($A17,3,5)),5))</f>
        <v>0x00082</v>
      </c>
      <c r="O17" s="9" t="str">
        <f>CONCATENATE("0x",DEC2HEX(HEX2DEC(MID($N$17,3,5))*4+3,6))</f>
        <v>0x00020B</v>
      </c>
      <c r="P17" s="9" t="s">
        <v>111</v>
      </c>
      <c r="Q17" s="9" t="s">
        <v>49</v>
      </c>
      <c r="R17" s="29" t="str">
        <f>CONCATENATE("0x",LEFT(DEC2HEX(HEX2DEC(MID(Module_Address_Usage!$C$2,3,8))+HEX2DEC(MID($N$17,3,5))*4+0,8),4),"_",RIGHT(DEC2HEX(HEX2DEC(MID(Module_Address_Usage!$C$2,3,8))+HEX2DEC(MID($N$17,3,5))*4+0,8),4))</f>
        <v>0x4000_0208</v>
      </c>
    </row>
    <row r="18" spans="1:18" ht="20.100000000000001" customHeight="1" x14ac:dyDescent="0.25">
      <c r="A18" s="30"/>
      <c r="B18" s="2" t="s">
        <v>49</v>
      </c>
      <c r="C18" s="30"/>
      <c r="D18" s="19"/>
      <c r="E18" s="19"/>
      <c r="F18" s="19"/>
      <c r="G18" s="19"/>
      <c r="H18" s="19"/>
      <c r="I18" s="19"/>
      <c r="J18" s="19"/>
      <c r="K18" s="19"/>
      <c r="L18" s="30"/>
      <c r="M18" s="30"/>
      <c r="N18" s="30"/>
      <c r="O18" s="2" t="str">
        <f>CONCATENATE("0x",DEC2HEX(HEX2DEC(MID($N$17,3,5))*4+2,6))</f>
        <v>0x00020A</v>
      </c>
      <c r="P18" s="2" t="s">
        <v>111</v>
      </c>
      <c r="Q18" s="2" t="s">
        <v>49</v>
      </c>
      <c r="R18" s="30"/>
    </row>
    <row r="19" spans="1:18" ht="20.100000000000001" customHeight="1" x14ac:dyDescent="0.25">
      <c r="A19" s="30"/>
      <c r="B19" s="2" t="s">
        <v>49</v>
      </c>
      <c r="C19" s="30"/>
      <c r="D19" s="19"/>
      <c r="E19" s="19"/>
      <c r="F19" s="19"/>
      <c r="G19" s="19"/>
      <c r="H19" s="19"/>
      <c r="I19" s="19"/>
      <c r="J19" s="19"/>
      <c r="K19" s="19"/>
      <c r="L19" s="30"/>
      <c r="M19" s="30"/>
      <c r="N19" s="30"/>
      <c r="O19" s="2" t="str">
        <f>CONCATENATE("0x",DEC2HEX(HEX2DEC(MID($N$17,3,5))*4+1,6))</f>
        <v>0x000209</v>
      </c>
      <c r="P19" s="2" t="s">
        <v>111</v>
      </c>
      <c r="Q19" s="2" t="s">
        <v>49</v>
      </c>
      <c r="R19" s="30"/>
    </row>
    <row r="20" spans="1:18" ht="20.100000000000001" customHeight="1" x14ac:dyDescent="0.25">
      <c r="A20" s="31"/>
      <c r="B20" s="11" t="s">
        <v>118</v>
      </c>
      <c r="C20" s="31"/>
      <c r="D20" s="20"/>
      <c r="E20" s="20"/>
      <c r="F20" s="20"/>
      <c r="G20" s="20"/>
      <c r="H20" s="46" t="s">
        <v>133</v>
      </c>
      <c r="I20" s="47"/>
      <c r="J20" s="47"/>
      <c r="K20" s="48"/>
      <c r="L20" s="31"/>
      <c r="M20" s="31"/>
      <c r="N20" s="31"/>
      <c r="O20" s="11" t="str">
        <f>CONCATENATE("0x",DEC2HEX(HEX2DEC(MID($N$17,3,5))*4+0,6))</f>
        <v>0x000208</v>
      </c>
      <c r="P20" s="11" t="s">
        <v>111</v>
      </c>
      <c r="Q20" s="11" t="s">
        <v>42</v>
      </c>
      <c r="R20" s="31"/>
    </row>
    <row r="21" spans="1:18" ht="20.100000000000001" customHeight="1" x14ac:dyDescent="0.25">
      <c r="A21" s="29" t="s">
        <v>117</v>
      </c>
      <c r="B21" s="9" t="s">
        <v>49</v>
      </c>
      <c r="C21" s="29" t="s">
        <v>134</v>
      </c>
      <c r="D21" s="21"/>
      <c r="E21" s="21"/>
      <c r="F21" s="21"/>
      <c r="G21" s="21"/>
      <c r="H21" s="21"/>
      <c r="I21" s="21"/>
      <c r="J21" s="21"/>
      <c r="K21" s="21"/>
      <c r="L21" s="32" t="s">
        <v>135</v>
      </c>
      <c r="M21" s="32" t="s">
        <v>136</v>
      </c>
      <c r="N21" s="29" t="str">
        <f>CONCATENATE("0x",DEC2HEX(HEX2DEC(MID(Module_Address_Usage!$C$5,3,5))+HEX2DEC(MID($A21,3,5)),5))</f>
        <v>0x00083</v>
      </c>
      <c r="O21" s="9" t="str">
        <f>CONCATENATE("0x",DEC2HEX(HEX2DEC(MID($N$21,3,5))*4+3,6))</f>
        <v>0x00020F</v>
      </c>
      <c r="P21" s="9" t="s">
        <v>111</v>
      </c>
      <c r="Q21" s="9" t="s">
        <v>49</v>
      </c>
      <c r="R21" s="29" t="str">
        <f>CONCATENATE("0x",LEFT(DEC2HEX(HEX2DEC(MID(Module_Address_Usage!$C$2,3,8))+HEX2DEC(MID($N$21,3,5))*4+0,8),4),"_",RIGHT(DEC2HEX(HEX2DEC(MID(Module_Address_Usage!$C$2,3,8))+HEX2DEC(MID($N$21,3,5))*4+0,8),4))</f>
        <v>0x4000_020C</v>
      </c>
    </row>
    <row r="22" spans="1:18" ht="20.100000000000001" customHeight="1" x14ac:dyDescent="0.25">
      <c r="A22" s="30"/>
      <c r="B22" s="2" t="s">
        <v>49</v>
      </c>
      <c r="C22" s="30"/>
      <c r="D22" s="19"/>
      <c r="E22" s="19"/>
      <c r="F22" s="19"/>
      <c r="G22" s="19"/>
      <c r="H22" s="19"/>
      <c r="I22" s="19"/>
      <c r="J22" s="19"/>
      <c r="K22" s="19"/>
      <c r="L22" s="30"/>
      <c r="M22" s="30"/>
      <c r="N22" s="30"/>
      <c r="O22" s="2" t="str">
        <f>CONCATENATE("0x",DEC2HEX(HEX2DEC(MID($N$21,3,5))*4+2,6))</f>
        <v>0x00020E</v>
      </c>
      <c r="P22" s="2" t="s">
        <v>111</v>
      </c>
      <c r="Q22" s="2" t="s">
        <v>49</v>
      </c>
      <c r="R22" s="30"/>
    </row>
    <row r="23" spans="1:18" ht="20.100000000000001" customHeight="1" x14ac:dyDescent="0.25">
      <c r="A23" s="30"/>
      <c r="B23" s="2" t="s">
        <v>49</v>
      </c>
      <c r="C23" s="30"/>
      <c r="D23" s="19"/>
      <c r="E23" s="19"/>
      <c r="F23" s="19"/>
      <c r="G23" s="19"/>
      <c r="H23" s="19"/>
      <c r="I23" s="19"/>
      <c r="J23" s="19"/>
      <c r="K23" s="19"/>
      <c r="L23" s="30"/>
      <c r="M23" s="30"/>
      <c r="N23" s="30"/>
      <c r="O23" s="2" t="str">
        <f>CONCATENATE("0x",DEC2HEX(HEX2DEC(MID($N$21,3,5))*4+1,6))</f>
        <v>0x00020D</v>
      </c>
      <c r="P23" s="2" t="s">
        <v>111</v>
      </c>
      <c r="Q23" s="2" t="s">
        <v>49</v>
      </c>
      <c r="R23" s="30"/>
    </row>
    <row r="24" spans="1:18" ht="20.100000000000001" customHeight="1" x14ac:dyDescent="0.25">
      <c r="A24" s="31"/>
      <c r="B24" s="11" t="s">
        <v>112</v>
      </c>
      <c r="C24" s="31"/>
      <c r="D24" s="20"/>
      <c r="E24" s="20"/>
      <c r="F24" s="20"/>
      <c r="G24" s="20"/>
      <c r="H24" s="46" t="s">
        <v>137</v>
      </c>
      <c r="I24" s="47"/>
      <c r="J24" s="47"/>
      <c r="K24" s="48"/>
      <c r="L24" s="31"/>
      <c r="M24" s="31"/>
      <c r="N24" s="31"/>
      <c r="O24" s="11" t="str">
        <f>CONCATENATE("0x",DEC2HEX(HEX2DEC(MID($N$21,3,5))*4+0,6))</f>
        <v>0x00020C</v>
      </c>
      <c r="P24" s="11" t="s">
        <v>138</v>
      </c>
      <c r="Q24" s="11" t="s">
        <v>42</v>
      </c>
      <c r="R24" s="31"/>
    </row>
    <row r="25" spans="1:18" ht="20.100000000000001" customHeight="1" x14ac:dyDescent="0.25">
      <c r="A25" s="29" t="s">
        <v>139</v>
      </c>
      <c r="B25" s="9" t="s">
        <v>49</v>
      </c>
      <c r="C25" s="29" t="s">
        <v>140</v>
      </c>
      <c r="D25" s="21"/>
      <c r="E25" s="21"/>
      <c r="F25" s="21"/>
      <c r="G25" s="21"/>
      <c r="H25" s="21"/>
      <c r="I25" s="21"/>
      <c r="J25" s="21"/>
      <c r="K25" s="21"/>
      <c r="L25" s="32" t="s">
        <v>141</v>
      </c>
      <c r="M25" s="32" t="s">
        <v>142</v>
      </c>
      <c r="N25" s="29" t="str">
        <f>CONCATENATE("0x",DEC2HEX(HEX2DEC(MID(Module_Address_Usage!$C$5,3,5))+HEX2DEC(MID($A25,3,5)),5))</f>
        <v>0x00084</v>
      </c>
      <c r="O25" s="9" t="str">
        <f>CONCATENATE("0x",DEC2HEX(HEX2DEC(MID($N$25,3,5))*4+3,6))</f>
        <v>0x000213</v>
      </c>
      <c r="P25" s="9" t="s">
        <v>111</v>
      </c>
      <c r="Q25" s="9" t="s">
        <v>49</v>
      </c>
      <c r="R25" s="29" t="str">
        <f>CONCATENATE("0x",LEFT(DEC2HEX(HEX2DEC(MID(Module_Address_Usage!$C$2,3,8))+HEX2DEC(MID($N$25,3,5))*4+0,8),4),"_",RIGHT(DEC2HEX(HEX2DEC(MID(Module_Address_Usage!$C$2,3,8))+HEX2DEC(MID($N$25,3,5))*4+0,8),4))</f>
        <v>0x4000_0210</v>
      </c>
    </row>
    <row r="26" spans="1:18" ht="20.100000000000001" customHeight="1" x14ac:dyDescent="0.25">
      <c r="A26" s="30"/>
      <c r="B26" s="2" t="s">
        <v>49</v>
      </c>
      <c r="C26" s="30"/>
      <c r="D26" s="19"/>
      <c r="E26" s="19"/>
      <c r="F26" s="19"/>
      <c r="G26" s="19"/>
      <c r="H26" s="19"/>
      <c r="I26" s="19"/>
      <c r="J26" s="19"/>
      <c r="K26" s="19"/>
      <c r="L26" s="30"/>
      <c r="M26" s="30"/>
      <c r="N26" s="30"/>
      <c r="O26" s="2" t="str">
        <f>CONCATENATE("0x",DEC2HEX(HEX2DEC(MID($N$25,3,5))*4+2,6))</f>
        <v>0x000212</v>
      </c>
      <c r="P26" s="2" t="s">
        <v>111</v>
      </c>
      <c r="Q26" s="2" t="s">
        <v>49</v>
      </c>
      <c r="R26" s="30"/>
    </row>
    <row r="27" spans="1:18" ht="20.100000000000001" customHeight="1" x14ac:dyDescent="0.25">
      <c r="A27" s="30"/>
      <c r="B27" s="2" t="s">
        <v>49</v>
      </c>
      <c r="C27" s="30"/>
      <c r="D27" s="19"/>
      <c r="E27" s="19"/>
      <c r="F27" s="19"/>
      <c r="G27" s="19"/>
      <c r="H27" s="19"/>
      <c r="I27" s="19"/>
      <c r="J27" s="19"/>
      <c r="K27" s="19"/>
      <c r="L27" s="30"/>
      <c r="M27" s="30"/>
      <c r="N27" s="30"/>
      <c r="O27" s="2" t="str">
        <f>CONCATENATE("0x",DEC2HEX(HEX2DEC(MID($N$25,3,5))*4+1,6))</f>
        <v>0x000211</v>
      </c>
      <c r="P27" s="2" t="s">
        <v>111</v>
      </c>
      <c r="Q27" s="2" t="s">
        <v>49</v>
      </c>
      <c r="R27" s="30"/>
    </row>
    <row r="28" spans="1:18" ht="20.100000000000001" customHeight="1" x14ac:dyDescent="0.25">
      <c r="A28" s="31"/>
      <c r="B28" s="11" t="s">
        <v>112</v>
      </c>
      <c r="C28" s="31"/>
      <c r="D28" s="20"/>
      <c r="E28" s="20"/>
      <c r="F28" s="20"/>
      <c r="G28" s="20"/>
      <c r="H28" s="46" t="s">
        <v>143</v>
      </c>
      <c r="I28" s="47"/>
      <c r="J28" s="47"/>
      <c r="K28" s="48"/>
      <c r="L28" s="31"/>
      <c r="M28" s="31"/>
      <c r="N28" s="31"/>
      <c r="O28" s="11" t="str">
        <f>CONCATENATE("0x",DEC2HEX(HEX2DEC(MID($N$25,3,5))*4+0,6))</f>
        <v>0x000210</v>
      </c>
      <c r="P28" s="11" t="s">
        <v>138</v>
      </c>
      <c r="Q28" s="11" t="s">
        <v>42</v>
      </c>
      <c r="R28" s="31"/>
    </row>
    <row r="29" spans="1:18" ht="20.100000000000001" customHeight="1" x14ac:dyDescent="0.25">
      <c r="A29" s="29" t="s">
        <v>144</v>
      </c>
      <c r="B29" s="9" t="s">
        <v>49</v>
      </c>
      <c r="C29" s="29" t="s">
        <v>145</v>
      </c>
      <c r="D29" s="21"/>
      <c r="E29" s="21"/>
      <c r="F29" s="21"/>
      <c r="G29" s="21"/>
      <c r="H29" s="21"/>
      <c r="I29" s="21"/>
      <c r="J29" s="21"/>
      <c r="K29" s="21"/>
      <c r="L29" s="32" t="s">
        <v>146</v>
      </c>
      <c r="M29" s="32" t="s">
        <v>147</v>
      </c>
      <c r="N29" s="29" t="str">
        <f>CONCATENATE("0x",DEC2HEX(HEX2DEC(MID(Module_Address_Usage!$C$5,3,5))+HEX2DEC(MID($A29,3,5)),5))</f>
        <v>0x00085</v>
      </c>
      <c r="O29" s="9" t="str">
        <f>CONCATENATE("0x",DEC2HEX(HEX2DEC(MID($N$29,3,5))*4+3,6))</f>
        <v>0x000217</v>
      </c>
      <c r="P29" s="9" t="s">
        <v>111</v>
      </c>
      <c r="Q29" s="9" t="s">
        <v>49</v>
      </c>
      <c r="R29" s="29" t="str">
        <f>CONCATENATE("0x",LEFT(DEC2HEX(HEX2DEC(MID(Module_Address_Usage!$C$2,3,8))+HEX2DEC(MID($N$29,3,5))*4+0,8),4),"_",RIGHT(DEC2HEX(HEX2DEC(MID(Module_Address_Usage!$C$2,3,8))+HEX2DEC(MID($N$29,3,5))*4+0,8),4))</f>
        <v>0x4000_0214</v>
      </c>
    </row>
    <row r="30" spans="1:18" ht="20.100000000000001" customHeight="1" x14ac:dyDescent="0.25">
      <c r="A30" s="30"/>
      <c r="B30" s="2" t="s">
        <v>49</v>
      </c>
      <c r="C30" s="30"/>
      <c r="D30" s="19"/>
      <c r="E30" s="19"/>
      <c r="F30" s="19"/>
      <c r="G30" s="19"/>
      <c r="H30" s="19"/>
      <c r="I30" s="19"/>
      <c r="J30" s="19"/>
      <c r="K30" s="19"/>
      <c r="L30" s="30"/>
      <c r="M30" s="30"/>
      <c r="N30" s="30"/>
      <c r="O30" s="2" t="str">
        <f>CONCATENATE("0x",DEC2HEX(HEX2DEC(MID($N$29,3,5))*4+2,6))</f>
        <v>0x000216</v>
      </c>
      <c r="P30" s="2" t="s">
        <v>111</v>
      </c>
      <c r="Q30" s="2" t="s">
        <v>49</v>
      </c>
      <c r="R30" s="30"/>
    </row>
    <row r="31" spans="1:18" ht="20.100000000000001" customHeight="1" x14ac:dyDescent="0.25">
      <c r="A31" s="30"/>
      <c r="B31" s="2" t="s">
        <v>49</v>
      </c>
      <c r="C31" s="30"/>
      <c r="D31" s="19"/>
      <c r="E31" s="19"/>
      <c r="F31" s="19"/>
      <c r="G31" s="19"/>
      <c r="H31" s="19"/>
      <c r="I31" s="19"/>
      <c r="J31" s="19"/>
      <c r="K31" s="19"/>
      <c r="L31" s="30"/>
      <c r="M31" s="30"/>
      <c r="N31" s="30"/>
      <c r="O31" s="2" t="str">
        <f>CONCATENATE("0x",DEC2HEX(HEX2DEC(MID($N$29,3,5))*4+1,6))</f>
        <v>0x000215</v>
      </c>
      <c r="P31" s="2" t="s">
        <v>111</v>
      </c>
      <c r="Q31" s="2" t="s">
        <v>49</v>
      </c>
      <c r="R31" s="30"/>
    </row>
    <row r="32" spans="1:18" ht="20.100000000000001" customHeight="1" x14ac:dyDescent="0.25">
      <c r="A32" s="31"/>
      <c r="B32" s="11" t="s">
        <v>112</v>
      </c>
      <c r="C32" s="31"/>
      <c r="D32" s="20"/>
      <c r="E32" s="20"/>
      <c r="F32" s="20"/>
      <c r="G32" s="20"/>
      <c r="H32" s="46" t="s">
        <v>148</v>
      </c>
      <c r="I32" s="47"/>
      <c r="J32" s="47"/>
      <c r="K32" s="48"/>
      <c r="L32" s="31"/>
      <c r="M32" s="31"/>
      <c r="N32" s="31"/>
      <c r="O32" s="11" t="str">
        <f>CONCATENATE("0x",DEC2HEX(HEX2DEC(MID($N$29,3,5))*4+0,6))</f>
        <v>0x000214</v>
      </c>
      <c r="P32" s="11" t="s">
        <v>138</v>
      </c>
      <c r="Q32" s="11" t="s">
        <v>42</v>
      </c>
      <c r="R32" s="31"/>
    </row>
    <row r="33" spans="1:18" ht="27" customHeight="1" x14ac:dyDescent="0.25">
      <c r="A33" s="8" t="s">
        <v>149</v>
      </c>
      <c r="B33" s="8" t="s">
        <v>49</v>
      </c>
      <c r="C33" s="8" t="s">
        <v>47</v>
      </c>
      <c r="D33" s="26"/>
      <c r="E33" s="27"/>
      <c r="F33" s="27"/>
      <c r="G33" s="27"/>
      <c r="H33" s="27"/>
      <c r="I33" s="27"/>
      <c r="J33" s="27"/>
      <c r="K33" s="28"/>
      <c r="L33" s="10" t="s">
        <v>47</v>
      </c>
      <c r="M33" s="10" t="s">
        <v>120</v>
      </c>
      <c r="N33" s="8" t="str">
        <f>CONCATENATE("0x",DEC2HEX(HEX2DEC(MID(Module_Address_Usage!$C$5,3,5))+HEX2DEC(MID($A33,3,5)),5))&amp;CHAR(10)&amp;"~ "&amp;CONCATENATE("0x",DEC2HEX(HEX2DEC(MID(Module_Address_Usage!$C$5,3,5))+HEX2DEC(MID($A33,13,5)),5))</f>
        <v>0x00086
~ 0x0008F</v>
      </c>
      <c r="O33" s="8" t="str">
        <f>CONCATENATE("0x",DEC2HEX(HEX2DEC(MID(CONCATENATE("0x",DEC2HEX(HEX2DEC(MID(Module_Address_Usage!$C$5,3,5))+HEX2DEC(MID($A33,3,5)),5)),3,5))*4+0,6))&amp;CHAR(10)&amp;"~ "&amp;CONCATENATE("0x",DEC2HEX(HEX2DEC(MID(CONCATENATE("0x",DEC2HEX(HEX2DEC(MID(Module_Address_Usage!$C$5,3,5))+HEX2DEC(MID($A33,13,5)),5)),3,5))*4+3,6))</f>
        <v>0x000218
~ 0x00023F</v>
      </c>
      <c r="P33" s="8" t="s">
        <v>111</v>
      </c>
      <c r="Q33" s="8" t="s">
        <v>49</v>
      </c>
      <c r="R33" s="8" t="str">
        <f>CONCATENATE("0x",LEFT(DEC2HEX(HEX2DEC(MID(Module_Address_Usage!$C$2,3,8))+HEX2DEC(MID(CONCATENATE("0x",DEC2HEX(HEX2DEC(MID(Module_Address_Usage!$C$5,3,5))+HEX2DEC(MID($A33,3,5)),5)),3,5))*4+0,8),4),"_",RIGHT(DEC2HEX(HEX2DEC(MID(Module_Address_Usage!$C$2,3,8))+HEX2DEC(MID(CONCATENATE("0x",DEC2HEX(HEX2DEC(MID(Module_Address_Usage!$C$5,3,5))+HEX2DEC(MID($A33,3,5)),5)),3,5))*4+0,8),4))&amp;CHAR(10)&amp;"~ "&amp;CONCATENATE("0x",LEFT(DEC2HEX(HEX2DEC(MID(Module_Address_Usage!$C$2,3,8))+HEX2DEC(MID(CONCATENATE("0x",DEC2HEX(HEX2DEC(MID(Module_Address_Usage!$C$5,3,5))+HEX2DEC(MID($A33,13,5)),5)),3,5))*4+3,8),4),"_",RIGHT(DEC2HEX(HEX2DEC(MID(Module_Address_Usage!$C$2,3,8))+HEX2DEC(MID(CONCATENATE("0x",DEC2HEX(HEX2DEC(MID(Module_Address_Usage!$C$5,3,5))+HEX2DEC(MID($A33,13,5)),5)),3,5))*4+3,8),4))</f>
        <v>0x4000_0218
~ 0x4000_023F</v>
      </c>
    </row>
    <row r="34" spans="1:18" ht="20.100000000000001" customHeight="1" x14ac:dyDescent="0.25">
      <c r="A34" s="29" t="s">
        <v>150</v>
      </c>
      <c r="B34" s="9" t="s">
        <v>49</v>
      </c>
      <c r="C34" s="29" t="s">
        <v>151</v>
      </c>
      <c r="D34" s="21"/>
      <c r="E34" s="21"/>
      <c r="F34" s="21"/>
      <c r="G34" s="21"/>
      <c r="H34" s="21"/>
      <c r="I34" s="21"/>
      <c r="J34" s="21"/>
      <c r="K34" s="21"/>
      <c r="L34" s="32" t="s">
        <v>152</v>
      </c>
      <c r="M34" s="32" t="s">
        <v>153</v>
      </c>
      <c r="N34" s="29" t="str">
        <f>CONCATENATE("0x",DEC2HEX(HEX2DEC(MID(Module_Address_Usage!$C$5,3,5))+HEX2DEC(MID($A34,3,5)),5))</f>
        <v>0x00090</v>
      </c>
      <c r="O34" s="9" t="str">
        <f>CONCATENATE("0x",DEC2HEX(HEX2DEC(MID($N$34,3,5))*4+3,6))</f>
        <v>0x000243</v>
      </c>
      <c r="P34" s="9" t="s">
        <v>111</v>
      </c>
      <c r="Q34" s="9" t="s">
        <v>49</v>
      </c>
      <c r="R34" s="29" t="str">
        <f>CONCATENATE("0x",LEFT(DEC2HEX(HEX2DEC(MID(Module_Address_Usage!$C$2,3,8))+HEX2DEC(MID($N$34,3,5))*4+0,8),4),"_",RIGHT(DEC2HEX(HEX2DEC(MID(Module_Address_Usage!$C$2,3,8))+HEX2DEC(MID($N$34,3,5))*4+0,8),4))</f>
        <v>0x4000_0240</v>
      </c>
    </row>
    <row r="35" spans="1:18" ht="20.100000000000001" customHeight="1" x14ac:dyDescent="0.25">
      <c r="A35" s="30"/>
      <c r="B35" s="2" t="s">
        <v>49</v>
      </c>
      <c r="C35" s="30"/>
      <c r="D35" s="19"/>
      <c r="E35" s="19"/>
      <c r="F35" s="19"/>
      <c r="G35" s="19"/>
      <c r="H35" s="19"/>
      <c r="I35" s="19"/>
      <c r="J35" s="19"/>
      <c r="K35" s="19"/>
      <c r="L35" s="30"/>
      <c r="M35" s="30"/>
      <c r="N35" s="30"/>
      <c r="O35" s="2" t="str">
        <f>CONCATENATE("0x",DEC2HEX(HEX2DEC(MID($N$34,3,5))*4+2,6))</f>
        <v>0x000242</v>
      </c>
      <c r="P35" s="2" t="s">
        <v>111</v>
      </c>
      <c r="Q35" s="2" t="s">
        <v>49</v>
      </c>
      <c r="R35" s="30"/>
    </row>
    <row r="36" spans="1:18" ht="20.100000000000001" customHeight="1" x14ac:dyDescent="0.25">
      <c r="A36" s="30"/>
      <c r="B36" s="2" t="s">
        <v>49</v>
      </c>
      <c r="C36" s="30"/>
      <c r="D36" s="19"/>
      <c r="E36" s="19"/>
      <c r="F36" s="19"/>
      <c r="G36" s="19"/>
      <c r="H36" s="19"/>
      <c r="I36" s="19"/>
      <c r="J36" s="19"/>
      <c r="K36" s="19"/>
      <c r="L36" s="30"/>
      <c r="M36" s="30"/>
      <c r="N36" s="30"/>
      <c r="O36" s="2" t="str">
        <f>CONCATENATE("0x",DEC2HEX(HEX2DEC(MID($N$34,3,5))*4+1,6))</f>
        <v>0x000241</v>
      </c>
      <c r="P36" s="2" t="s">
        <v>111</v>
      </c>
      <c r="Q36" s="2" t="s">
        <v>49</v>
      </c>
      <c r="R36" s="30"/>
    </row>
    <row r="37" spans="1:18" ht="20.100000000000001" customHeight="1" x14ac:dyDescent="0.25">
      <c r="A37" s="31"/>
      <c r="B37" s="11" t="s">
        <v>118</v>
      </c>
      <c r="C37" s="31"/>
      <c r="D37" s="20"/>
      <c r="E37" s="20"/>
      <c r="F37" s="20"/>
      <c r="G37" s="20"/>
      <c r="H37" s="46" t="s">
        <v>154</v>
      </c>
      <c r="I37" s="47"/>
      <c r="J37" s="47"/>
      <c r="K37" s="48"/>
      <c r="L37" s="31"/>
      <c r="M37" s="31"/>
      <c r="N37" s="31"/>
      <c r="O37" s="11" t="str">
        <f>CONCATENATE("0x",DEC2HEX(HEX2DEC(MID($N$34,3,5))*4+0,6))</f>
        <v>0x000240</v>
      </c>
      <c r="P37" s="11" t="s">
        <v>111</v>
      </c>
      <c r="Q37" s="11" t="s">
        <v>42</v>
      </c>
      <c r="R37" s="31"/>
    </row>
    <row r="38" spans="1:18" ht="20.100000000000001" customHeight="1" x14ac:dyDescent="0.25">
      <c r="A38" s="29" t="s">
        <v>155</v>
      </c>
      <c r="B38" s="9" t="s">
        <v>49</v>
      </c>
      <c r="C38" s="29" t="s">
        <v>156</v>
      </c>
      <c r="D38" s="21"/>
      <c r="E38" s="21"/>
      <c r="F38" s="21"/>
      <c r="G38" s="21"/>
      <c r="H38" s="21"/>
      <c r="I38" s="21"/>
      <c r="J38" s="21"/>
      <c r="K38" s="21"/>
      <c r="L38" s="32" t="s">
        <v>157</v>
      </c>
      <c r="M38" s="32" t="s">
        <v>158</v>
      </c>
      <c r="N38" s="29" t="str">
        <f>CONCATENATE("0x",DEC2HEX(HEX2DEC(MID(Module_Address_Usage!$C$5,3,5))+HEX2DEC(MID($A38,3,5)),5))</f>
        <v>0x00091</v>
      </c>
      <c r="O38" s="9" t="str">
        <f>CONCATENATE("0x",DEC2HEX(HEX2DEC(MID($N$38,3,5))*4+3,6))</f>
        <v>0x000247</v>
      </c>
      <c r="P38" s="9" t="s">
        <v>111</v>
      </c>
      <c r="Q38" s="9" t="s">
        <v>49</v>
      </c>
      <c r="R38" s="29" t="str">
        <f>CONCATENATE("0x",LEFT(DEC2HEX(HEX2DEC(MID(Module_Address_Usage!$C$2,3,8))+HEX2DEC(MID($N$38,3,5))*4+0,8),4),"_",RIGHT(DEC2HEX(HEX2DEC(MID(Module_Address_Usage!$C$2,3,8))+HEX2DEC(MID($N$38,3,5))*4+0,8),4))</f>
        <v>0x4000_0244</v>
      </c>
    </row>
    <row r="39" spans="1:18" ht="20.100000000000001" customHeight="1" x14ac:dyDescent="0.25">
      <c r="A39" s="30"/>
      <c r="B39" s="2" t="s">
        <v>49</v>
      </c>
      <c r="C39" s="30"/>
      <c r="D39" s="19"/>
      <c r="E39" s="19"/>
      <c r="F39" s="19"/>
      <c r="G39" s="19"/>
      <c r="H39" s="19"/>
      <c r="I39" s="19"/>
      <c r="J39" s="19"/>
      <c r="K39" s="19"/>
      <c r="L39" s="30"/>
      <c r="M39" s="30"/>
      <c r="N39" s="30"/>
      <c r="O39" s="2" t="str">
        <f>CONCATENATE("0x",DEC2HEX(HEX2DEC(MID($N$38,3,5))*4+2,6))</f>
        <v>0x000246</v>
      </c>
      <c r="P39" s="2" t="s">
        <v>111</v>
      </c>
      <c r="Q39" s="2" t="s">
        <v>49</v>
      </c>
      <c r="R39" s="30"/>
    </row>
    <row r="40" spans="1:18" ht="20.100000000000001" customHeight="1" x14ac:dyDescent="0.25">
      <c r="A40" s="30"/>
      <c r="B40" s="2" t="s">
        <v>49</v>
      </c>
      <c r="C40" s="30"/>
      <c r="D40" s="19"/>
      <c r="E40" s="19"/>
      <c r="F40" s="19"/>
      <c r="G40" s="19"/>
      <c r="H40" s="19"/>
      <c r="I40" s="19"/>
      <c r="J40" s="19"/>
      <c r="K40" s="19"/>
      <c r="L40" s="30"/>
      <c r="M40" s="30"/>
      <c r="N40" s="30"/>
      <c r="O40" s="2" t="str">
        <f>CONCATENATE("0x",DEC2HEX(HEX2DEC(MID($N$38,3,5))*4+1,6))</f>
        <v>0x000245</v>
      </c>
      <c r="P40" s="2" t="s">
        <v>111</v>
      </c>
      <c r="Q40" s="2" t="s">
        <v>49</v>
      </c>
      <c r="R40" s="30"/>
    </row>
    <row r="41" spans="1:18" ht="20.100000000000001" customHeight="1" x14ac:dyDescent="0.25">
      <c r="A41" s="31"/>
      <c r="B41" s="11" t="s">
        <v>118</v>
      </c>
      <c r="C41" s="31"/>
      <c r="D41" s="20"/>
      <c r="E41" s="20"/>
      <c r="F41" s="20"/>
      <c r="G41" s="20"/>
      <c r="H41" s="46" t="s">
        <v>159</v>
      </c>
      <c r="I41" s="47"/>
      <c r="J41" s="47"/>
      <c r="K41" s="48"/>
      <c r="L41" s="31"/>
      <c r="M41" s="31"/>
      <c r="N41" s="31"/>
      <c r="O41" s="11" t="str">
        <f>CONCATENATE("0x",DEC2HEX(HEX2DEC(MID($N$38,3,5))*4+0,6))</f>
        <v>0x000244</v>
      </c>
      <c r="P41" s="11" t="s">
        <v>111</v>
      </c>
      <c r="Q41" s="11" t="s">
        <v>42</v>
      </c>
      <c r="R41" s="31"/>
    </row>
    <row r="42" spans="1:18" ht="20.100000000000001" customHeight="1" x14ac:dyDescent="0.25">
      <c r="A42" s="29" t="s">
        <v>160</v>
      </c>
      <c r="B42" s="9" t="s">
        <v>49</v>
      </c>
      <c r="C42" s="29" t="s">
        <v>161</v>
      </c>
      <c r="D42" s="21"/>
      <c r="E42" s="21"/>
      <c r="F42" s="21"/>
      <c r="G42" s="21"/>
      <c r="H42" s="21"/>
      <c r="I42" s="21"/>
      <c r="J42" s="21"/>
      <c r="K42" s="21"/>
      <c r="L42" s="32" t="s">
        <v>162</v>
      </c>
      <c r="M42" s="32" t="s">
        <v>163</v>
      </c>
      <c r="N42" s="29" t="str">
        <f>CONCATENATE("0x",DEC2HEX(HEX2DEC(MID(Module_Address_Usage!$C$5,3,5))+HEX2DEC(MID($A42,3,5)),5))</f>
        <v>0x00092</v>
      </c>
      <c r="O42" s="9" t="str">
        <f>CONCATENATE("0x",DEC2HEX(HEX2DEC(MID($N$42,3,5))*4+3,6))</f>
        <v>0x00024B</v>
      </c>
      <c r="P42" s="9" t="s">
        <v>111</v>
      </c>
      <c r="Q42" s="9" t="s">
        <v>49</v>
      </c>
      <c r="R42" s="29" t="str">
        <f>CONCATENATE("0x",LEFT(DEC2HEX(HEX2DEC(MID(Module_Address_Usage!$C$2,3,8))+HEX2DEC(MID($N$42,3,5))*4+0,8),4),"_",RIGHT(DEC2HEX(HEX2DEC(MID(Module_Address_Usage!$C$2,3,8))+HEX2DEC(MID($N$42,3,5))*4+0,8),4))</f>
        <v>0x4000_0248</v>
      </c>
    </row>
    <row r="43" spans="1:18" ht="20.100000000000001" customHeight="1" x14ac:dyDescent="0.25">
      <c r="A43" s="30"/>
      <c r="B43" s="2" t="s">
        <v>49</v>
      </c>
      <c r="C43" s="30"/>
      <c r="D43" s="19"/>
      <c r="E43" s="19"/>
      <c r="F43" s="19"/>
      <c r="G43" s="19"/>
      <c r="H43" s="19"/>
      <c r="I43" s="19"/>
      <c r="J43" s="19"/>
      <c r="K43" s="19"/>
      <c r="L43" s="30"/>
      <c r="M43" s="30"/>
      <c r="N43" s="30"/>
      <c r="O43" s="2" t="str">
        <f>CONCATENATE("0x",DEC2HEX(HEX2DEC(MID($N$42,3,5))*4+2,6))</f>
        <v>0x00024A</v>
      </c>
      <c r="P43" s="2" t="s">
        <v>111</v>
      </c>
      <c r="Q43" s="2" t="s">
        <v>49</v>
      </c>
      <c r="R43" s="30"/>
    </row>
    <row r="44" spans="1:18" ht="20.100000000000001" customHeight="1" x14ac:dyDescent="0.25">
      <c r="A44" s="30"/>
      <c r="B44" s="2" t="s">
        <v>49</v>
      </c>
      <c r="C44" s="30"/>
      <c r="D44" s="19"/>
      <c r="E44" s="19"/>
      <c r="F44" s="19"/>
      <c r="G44" s="19"/>
      <c r="H44" s="19"/>
      <c r="I44" s="19"/>
      <c r="J44" s="19"/>
      <c r="K44" s="19"/>
      <c r="L44" s="30"/>
      <c r="M44" s="30"/>
      <c r="N44" s="30"/>
      <c r="O44" s="2" t="str">
        <f>CONCATENATE("0x",DEC2HEX(HEX2DEC(MID($N$42,3,5))*4+1,6))</f>
        <v>0x000249</v>
      </c>
      <c r="P44" s="2" t="s">
        <v>111</v>
      </c>
      <c r="Q44" s="2" t="s">
        <v>49</v>
      </c>
      <c r="R44" s="30"/>
    </row>
    <row r="45" spans="1:18" ht="20.100000000000001" customHeight="1" x14ac:dyDescent="0.25">
      <c r="A45" s="31"/>
      <c r="B45" s="11" t="s">
        <v>118</v>
      </c>
      <c r="C45" s="31"/>
      <c r="D45" s="20"/>
      <c r="E45" s="20"/>
      <c r="F45" s="20"/>
      <c r="G45" s="20"/>
      <c r="H45" s="46" t="s">
        <v>164</v>
      </c>
      <c r="I45" s="47"/>
      <c r="J45" s="47"/>
      <c r="K45" s="48"/>
      <c r="L45" s="31"/>
      <c r="M45" s="31"/>
      <c r="N45" s="31"/>
      <c r="O45" s="11" t="str">
        <f>CONCATENATE("0x",DEC2HEX(HEX2DEC(MID($N$42,3,5))*4+0,6))</f>
        <v>0x000248</v>
      </c>
      <c r="P45" s="11" t="s">
        <v>111</v>
      </c>
      <c r="Q45" s="11" t="s">
        <v>42</v>
      </c>
      <c r="R45" s="31"/>
    </row>
    <row r="46" spans="1:18" ht="20.100000000000001" customHeight="1" x14ac:dyDescent="0.25">
      <c r="A46" s="29" t="s">
        <v>165</v>
      </c>
      <c r="B46" s="9" t="s">
        <v>49</v>
      </c>
      <c r="C46" s="29" t="s">
        <v>166</v>
      </c>
      <c r="D46" s="21"/>
      <c r="E46" s="21"/>
      <c r="F46" s="21"/>
      <c r="G46" s="21"/>
      <c r="H46" s="21"/>
      <c r="I46" s="21"/>
      <c r="J46" s="21"/>
      <c r="K46" s="21"/>
      <c r="L46" s="32" t="s">
        <v>167</v>
      </c>
      <c r="M46" s="32" t="s">
        <v>168</v>
      </c>
      <c r="N46" s="29" t="str">
        <f>CONCATENATE("0x",DEC2HEX(HEX2DEC(MID(Module_Address_Usage!$C$5,3,5))+HEX2DEC(MID($A46,3,5)),5))</f>
        <v>0x00093</v>
      </c>
      <c r="O46" s="9" t="str">
        <f>CONCATENATE("0x",DEC2HEX(HEX2DEC(MID($N$46,3,5))*4+3,6))</f>
        <v>0x00024F</v>
      </c>
      <c r="P46" s="9" t="s">
        <v>111</v>
      </c>
      <c r="Q46" s="9" t="s">
        <v>49</v>
      </c>
      <c r="R46" s="29" t="str">
        <f>CONCATENATE("0x",LEFT(DEC2HEX(HEX2DEC(MID(Module_Address_Usage!$C$2,3,8))+HEX2DEC(MID($N$46,3,5))*4+0,8),4),"_",RIGHT(DEC2HEX(HEX2DEC(MID(Module_Address_Usage!$C$2,3,8))+HEX2DEC(MID($N$46,3,5))*4+0,8),4))</f>
        <v>0x4000_024C</v>
      </c>
    </row>
    <row r="47" spans="1:18" ht="20.100000000000001" customHeight="1" x14ac:dyDescent="0.25">
      <c r="A47" s="30"/>
      <c r="B47" s="2" t="s">
        <v>49</v>
      </c>
      <c r="C47" s="30"/>
      <c r="D47" s="19"/>
      <c r="E47" s="19"/>
      <c r="F47" s="19"/>
      <c r="G47" s="19"/>
      <c r="H47" s="19"/>
      <c r="I47" s="19"/>
      <c r="J47" s="19"/>
      <c r="K47" s="19"/>
      <c r="L47" s="30"/>
      <c r="M47" s="30"/>
      <c r="N47" s="30"/>
      <c r="O47" s="2" t="str">
        <f>CONCATENATE("0x",DEC2HEX(HEX2DEC(MID($N$46,3,5))*4+2,6))</f>
        <v>0x00024E</v>
      </c>
      <c r="P47" s="2" t="s">
        <v>111</v>
      </c>
      <c r="Q47" s="2" t="s">
        <v>49</v>
      </c>
      <c r="R47" s="30"/>
    </row>
    <row r="48" spans="1:18" ht="20.100000000000001" customHeight="1" x14ac:dyDescent="0.25">
      <c r="A48" s="30"/>
      <c r="B48" s="2" t="s">
        <v>49</v>
      </c>
      <c r="C48" s="30"/>
      <c r="D48" s="19"/>
      <c r="E48" s="19"/>
      <c r="F48" s="19"/>
      <c r="G48" s="19"/>
      <c r="H48" s="19"/>
      <c r="I48" s="19"/>
      <c r="J48" s="19"/>
      <c r="K48" s="19"/>
      <c r="L48" s="30"/>
      <c r="M48" s="30"/>
      <c r="N48" s="30"/>
      <c r="O48" s="2" t="str">
        <f>CONCATENATE("0x",DEC2HEX(HEX2DEC(MID($N$46,3,5))*4+1,6))</f>
        <v>0x00024D</v>
      </c>
      <c r="P48" s="2" t="s">
        <v>111</v>
      </c>
      <c r="Q48" s="2" t="s">
        <v>49</v>
      </c>
      <c r="R48" s="30"/>
    </row>
    <row r="49" spans="1:18" ht="20.100000000000001" customHeight="1" x14ac:dyDescent="0.25">
      <c r="A49" s="31"/>
      <c r="B49" s="11" t="s">
        <v>112</v>
      </c>
      <c r="C49" s="31"/>
      <c r="D49" s="20"/>
      <c r="E49" s="20"/>
      <c r="F49" s="20"/>
      <c r="G49" s="20"/>
      <c r="H49" s="46" t="s">
        <v>169</v>
      </c>
      <c r="I49" s="47"/>
      <c r="J49" s="47"/>
      <c r="K49" s="48"/>
      <c r="L49" s="31"/>
      <c r="M49" s="31"/>
      <c r="N49" s="31"/>
      <c r="O49" s="11" t="str">
        <f>CONCATENATE("0x",DEC2HEX(HEX2DEC(MID($N$46,3,5))*4+0,6))</f>
        <v>0x00024C</v>
      </c>
      <c r="P49" s="11" t="s">
        <v>138</v>
      </c>
      <c r="Q49" s="11" t="s">
        <v>42</v>
      </c>
      <c r="R49" s="31"/>
    </row>
    <row r="50" spans="1:18" ht="20.100000000000001" customHeight="1" x14ac:dyDescent="0.25">
      <c r="A50" s="29" t="s">
        <v>170</v>
      </c>
      <c r="B50" s="9" t="s">
        <v>49</v>
      </c>
      <c r="C50" s="29" t="s">
        <v>171</v>
      </c>
      <c r="D50" s="21"/>
      <c r="E50" s="21"/>
      <c r="F50" s="21"/>
      <c r="G50" s="21"/>
      <c r="H50" s="21"/>
      <c r="I50" s="21"/>
      <c r="J50" s="21"/>
      <c r="K50" s="21"/>
      <c r="L50" s="32" t="s">
        <v>172</v>
      </c>
      <c r="M50" s="32" t="s">
        <v>173</v>
      </c>
      <c r="N50" s="29" t="str">
        <f>CONCATENATE("0x",DEC2HEX(HEX2DEC(MID(Module_Address_Usage!$C$5,3,5))+HEX2DEC(MID($A50,3,5)),5))</f>
        <v>0x00094</v>
      </c>
      <c r="O50" s="9" t="str">
        <f>CONCATENATE("0x",DEC2HEX(HEX2DEC(MID($N$50,3,5))*4+3,6))</f>
        <v>0x000253</v>
      </c>
      <c r="P50" s="9" t="s">
        <v>111</v>
      </c>
      <c r="Q50" s="9" t="s">
        <v>49</v>
      </c>
      <c r="R50" s="29" t="str">
        <f>CONCATENATE("0x",LEFT(DEC2HEX(HEX2DEC(MID(Module_Address_Usage!$C$2,3,8))+HEX2DEC(MID($N$50,3,5))*4+0,8),4),"_",RIGHT(DEC2HEX(HEX2DEC(MID(Module_Address_Usage!$C$2,3,8))+HEX2DEC(MID($N$50,3,5))*4+0,8),4))</f>
        <v>0x4000_0250</v>
      </c>
    </row>
    <row r="51" spans="1:18" ht="20.100000000000001" customHeight="1" x14ac:dyDescent="0.25">
      <c r="A51" s="30"/>
      <c r="B51" s="2" t="s">
        <v>49</v>
      </c>
      <c r="C51" s="30"/>
      <c r="D51" s="19"/>
      <c r="E51" s="19"/>
      <c r="F51" s="19"/>
      <c r="G51" s="19"/>
      <c r="H51" s="19"/>
      <c r="I51" s="19"/>
      <c r="J51" s="19"/>
      <c r="K51" s="19"/>
      <c r="L51" s="30"/>
      <c r="M51" s="30"/>
      <c r="N51" s="30"/>
      <c r="O51" s="2" t="str">
        <f>CONCATENATE("0x",DEC2HEX(HEX2DEC(MID($N$50,3,5))*4+2,6))</f>
        <v>0x000252</v>
      </c>
      <c r="P51" s="2" t="s">
        <v>111</v>
      </c>
      <c r="Q51" s="2" t="s">
        <v>49</v>
      </c>
      <c r="R51" s="30"/>
    </row>
    <row r="52" spans="1:18" ht="20.100000000000001" customHeight="1" x14ac:dyDescent="0.25">
      <c r="A52" s="30"/>
      <c r="B52" s="2" t="s">
        <v>49</v>
      </c>
      <c r="C52" s="30"/>
      <c r="D52" s="19"/>
      <c r="E52" s="19"/>
      <c r="F52" s="19"/>
      <c r="G52" s="19"/>
      <c r="H52" s="19"/>
      <c r="I52" s="19"/>
      <c r="J52" s="19"/>
      <c r="K52" s="19"/>
      <c r="L52" s="30"/>
      <c r="M52" s="30"/>
      <c r="N52" s="30"/>
      <c r="O52" s="2" t="str">
        <f>CONCATENATE("0x",DEC2HEX(HEX2DEC(MID($N$50,3,5))*4+1,6))</f>
        <v>0x000251</v>
      </c>
      <c r="P52" s="2" t="s">
        <v>111</v>
      </c>
      <c r="Q52" s="2" t="s">
        <v>49</v>
      </c>
      <c r="R52" s="30"/>
    </row>
    <row r="53" spans="1:18" ht="20.100000000000001" customHeight="1" x14ac:dyDescent="0.25">
      <c r="A53" s="31"/>
      <c r="B53" s="11" t="s">
        <v>112</v>
      </c>
      <c r="C53" s="31"/>
      <c r="D53" s="20"/>
      <c r="E53" s="20"/>
      <c r="F53" s="20"/>
      <c r="G53" s="20"/>
      <c r="H53" s="46" t="s">
        <v>174</v>
      </c>
      <c r="I53" s="47"/>
      <c r="J53" s="47"/>
      <c r="K53" s="48"/>
      <c r="L53" s="31"/>
      <c r="M53" s="31"/>
      <c r="N53" s="31"/>
      <c r="O53" s="11" t="str">
        <f>CONCATENATE("0x",DEC2HEX(HEX2DEC(MID($N$50,3,5))*4+0,6))</f>
        <v>0x000250</v>
      </c>
      <c r="P53" s="11" t="s">
        <v>138</v>
      </c>
      <c r="Q53" s="11" t="s">
        <v>42</v>
      </c>
      <c r="R53" s="31"/>
    </row>
    <row r="54" spans="1:18" ht="20.100000000000001" customHeight="1" x14ac:dyDescent="0.25">
      <c r="A54" s="29" t="s">
        <v>175</v>
      </c>
      <c r="B54" s="9" t="s">
        <v>49</v>
      </c>
      <c r="C54" s="29" t="s">
        <v>176</v>
      </c>
      <c r="D54" s="21"/>
      <c r="E54" s="21"/>
      <c r="F54" s="21"/>
      <c r="G54" s="21"/>
      <c r="H54" s="21"/>
      <c r="I54" s="21"/>
      <c r="J54" s="21"/>
      <c r="K54" s="21"/>
      <c r="L54" s="32" t="s">
        <v>177</v>
      </c>
      <c r="M54" s="32" t="s">
        <v>178</v>
      </c>
      <c r="N54" s="29" t="str">
        <f>CONCATENATE("0x",DEC2HEX(HEX2DEC(MID(Module_Address_Usage!$C$5,3,5))+HEX2DEC(MID($A54,3,5)),5))</f>
        <v>0x00095</v>
      </c>
      <c r="O54" s="9" t="str">
        <f>CONCATENATE("0x",DEC2HEX(HEX2DEC(MID($N$54,3,5))*4+3,6))</f>
        <v>0x000257</v>
      </c>
      <c r="P54" s="9" t="s">
        <v>111</v>
      </c>
      <c r="Q54" s="9" t="s">
        <v>49</v>
      </c>
      <c r="R54" s="29" t="str">
        <f>CONCATENATE("0x",LEFT(DEC2HEX(HEX2DEC(MID(Module_Address_Usage!$C$2,3,8))+HEX2DEC(MID($N$54,3,5))*4+0,8),4),"_",RIGHT(DEC2HEX(HEX2DEC(MID(Module_Address_Usage!$C$2,3,8))+HEX2DEC(MID($N$54,3,5))*4+0,8),4))</f>
        <v>0x4000_0254</v>
      </c>
    </row>
    <row r="55" spans="1:18" ht="20.100000000000001" customHeight="1" x14ac:dyDescent="0.25">
      <c r="A55" s="30"/>
      <c r="B55" s="2" t="s">
        <v>49</v>
      </c>
      <c r="C55" s="30"/>
      <c r="D55" s="19"/>
      <c r="E55" s="19"/>
      <c r="F55" s="19"/>
      <c r="G55" s="19"/>
      <c r="H55" s="19"/>
      <c r="I55" s="19"/>
      <c r="J55" s="19"/>
      <c r="K55" s="19"/>
      <c r="L55" s="30"/>
      <c r="M55" s="30"/>
      <c r="N55" s="30"/>
      <c r="O55" s="2" t="str">
        <f>CONCATENATE("0x",DEC2HEX(HEX2DEC(MID($N$54,3,5))*4+2,6))</f>
        <v>0x000256</v>
      </c>
      <c r="P55" s="2" t="s">
        <v>111</v>
      </c>
      <c r="Q55" s="2" t="s">
        <v>49</v>
      </c>
      <c r="R55" s="30"/>
    </row>
    <row r="56" spans="1:18" ht="20.100000000000001" customHeight="1" x14ac:dyDescent="0.25">
      <c r="A56" s="30"/>
      <c r="B56" s="2" t="s">
        <v>49</v>
      </c>
      <c r="C56" s="30"/>
      <c r="D56" s="19"/>
      <c r="E56" s="19"/>
      <c r="F56" s="19"/>
      <c r="G56" s="19"/>
      <c r="H56" s="19"/>
      <c r="I56" s="19"/>
      <c r="J56" s="19"/>
      <c r="K56" s="19"/>
      <c r="L56" s="30"/>
      <c r="M56" s="30"/>
      <c r="N56" s="30"/>
      <c r="O56" s="2" t="str">
        <f>CONCATENATE("0x",DEC2HEX(HEX2DEC(MID($N$54,3,5))*4+1,6))</f>
        <v>0x000255</v>
      </c>
      <c r="P56" s="2" t="s">
        <v>111</v>
      </c>
      <c r="Q56" s="2" t="s">
        <v>49</v>
      </c>
      <c r="R56" s="30"/>
    </row>
    <row r="57" spans="1:18" ht="20.100000000000001" customHeight="1" x14ac:dyDescent="0.25">
      <c r="A57" s="31"/>
      <c r="B57" s="11" t="s">
        <v>112</v>
      </c>
      <c r="C57" s="31"/>
      <c r="D57" s="20"/>
      <c r="E57" s="20"/>
      <c r="F57" s="20"/>
      <c r="G57" s="20"/>
      <c r="H57" s="46" t="s">
        <v>179</v>
      </c>
      <c r="I57" s="47"/>
      <c r="J57" s="47"/>
      <c r="K57" s="48"/>
      <c r="L57" s="31"/>
      <c r="M57" s="31"/>
      <c r="N57" s="31"/>
      <c r="O57" s="11" t="str">
        <f>CONCATENATE("0x",DEC2HEX(HEX2DEC(MID($N$54,3,5))*4+0,6))</f>
        <v>0x000254</v>
      </c>
      <c r="P57" s="11" t="s">
        <v>138</v>
      </c>
      <c r="Q57" s="11" t="s">
        <v>42</v>
      </c>
      <c r="R57" s="31"/>
    </row>
    <row r="58" spans="1:18" ht="27" customHeight="1" x14ac:dyDescent="0.25">
      <c r="A58" s="8" t="s">
        <v>180</v>
      </c>
      <c r="B58" s="8" t="s">
        <v>49</v>
      </c>
      <c r="C58" s="8" t="s">
        <v>47</v>
      </c>
      <c r="D58" s="26"/>
      <c r="E58" s="27"/>
      <c r="F58" s="27"/>
      <c r="G58" s="27"/>
      <c r="H58" s="27"/>
      <c r="I58" s="27"/>
      <c r="J58" s="27"/>
      <c r="K58" s="28"/>
      <c r="L58" s="10" t="s">
        <v>47</v>
      </c>
      <c r="M58" s="10" t="s">
        <v>120</v>
      </c>
      <c r="N58" s="8" t="str">
        <f>CONCATENATE("0x",DEC2HEX(HEX2DEC(MID(Module_Address_Usage!$C$5,3,5))+HEX2DEC(MID($A58,3,5)),5))&amp;CHAR(10)&amp;"~ "&amp;CONCATENATE("0x",DEC2HEX(HEX2DEC(MID(Module_Address_Usage!$C$5,3,5))+HEX2DEC(MID($A58,13,5)),5))</f>
        <v>0x00096
~ 0x0009F</v>
      </c>
      <c r="O58" s="8" t="str">
        <f>CONCATENATE("0x",DEC2HEX(HEX2DEC(MID(CONCATENATE("0x",DEC2HEX(HEX2DEC(MID(Module_Address_Usage!$C$5,3,5))+HEX2DEC(MID($A58,3,5)),5)),3,5))*4+0,6))&amp;CHAR(10)&amp;"~ "&amp;CONCATENATE("0x",DEC2HEX(HEX2DEC(MID(CONCATENATE("0x",DEC2HEX(HEX2DEC(MID(Module_Address_Usage!$C$5,3,5))+HEX2DEC(MID($A58,13,5)),5)),3,5))*4+3,6))</f>
        <v>0x000258
~ 0x00027F</v>
      </c>
      <c r="P58" s="8" t="s">
        <v>111</v>
      </c>
      <c r="Q58" s="8" t="s">
        <v>49</v>
      </c>
      <c r="R58" s="8" t="str">
        <f>CONCATENATE("0x",LEFT(DEC2HEX(HEX2DEC(MID(Module_Address_Usage!$C$2,3,8))+HEX2DEC(MID(CONCATENATE("0x",DEC2HEX(HEX2DEC(MID(Module_Address_Usage!$C$5,3,5))+HEX2DEC(MID($A58,3,5)),5)),3,5))*4+0,8),4),"_",RIGHT(DEC2HEX(HEX2DEC(MID(Module_Address_Usage!$C$2,3,8))+HEX2DEC(MID(CONCATENATE("0x",DEC2HEX(HEX2DEC(MID(Module_Address_Usage!$C$5,3,5))+HEX2DEC(MID($A58,3,5)),5)),3,5))*4+0,8),4))&amp;CHAR(10)&amp;"~ "&amp;CONCATENATE("0x",LEFT(DEC2HEX(HEX2DEC(MID(Module_Address_Usage!$C$2,3,8))+HEX2DEC(MID(CONCATENATE("0x",DEC2HEX(HEX2DEC(MID(Module_Address_Usage!$C$5,3,5))+HEX2DEC(MID($A58,13,5)),5)),3,5))*4+3,8),4),"_",RIGHT(DEC2HEX(HEX2DEC(MID(Module_Address_Usage!$C$2,3,8))+HEX2DEC(MID(CONCATENATE("0x",DEC2HEX(HEX2DEC(MID(Module_Address_Usage!$C$5,3,5))+HEX2DEC(MID($A58,13,5)),5)),3,5))*4+3,8),4))</f>
        <v>0x4000_0258
~ 0x4000_027F</v>
      </c>
    </row>
    <row r="59" spans="1:18" ht="20.100000000000001" customHeight="1" x14ac:dyDescent="0.25">
      <c r="A59" s="29" t="s">
        <v>181</v>
      </c>
      <c r="B59" s="9" t="s">
        <v>49</v>
      </c>
      <c r="C59" s="29" t="s">
        <v>182</v>
      </c>
      <c r="D59" s="21"/>
      <c r="E59" s="21"/>
      <c r="F59" s="21"/>
      <c r="G59" s="21"/>
      <c r="H59" s="21"/>
      <c r="I59" s="21"/>
      <c r="J59" s="21"/>
      <c r="K59" s="21"/>
      <c r="L59" s="32" t="s">
        <v>183</v>
      </c>
      <c r="M59" s="32" t="s">
        <v>184</v>
      </c>
      <c r="N59" s="29" t="str">
        <f>CONCATENATE("0x",DEC2HEX(HEX2DEC(MID(Module_Address_Usage!$C$5,3,5))+HEX2DEC(MID($A59,3,5)),5))</f>
        <v>0x000A0</v>
      </c>
      <c r="O59" s="9" t="str">
        <f>CONCATENATE("0x",DEC2HEX(HEX2DEC(MID($N$59,3,5))*4+3,6))</f>
        <v>0x000283</v>
      </c>
      <c r="P59" s="9" t="s">
        <v>111</v>
      </c>
      <c r="Q59" s="9" t="s">
        <v>49</v>
      </c>
      <c r="R59" s="29" t="str">
        <f>CONCATENATE("0x",LEFT(DEC2HEX(HEX2DEC(MID(Module_Address_Usage!$C$2,3,8))+HEX2DEC(MID($N$59,3,5))*4+0,8),4),"_",RIGHT(DEC2HEX(HEX2DEC(MID(Module_Address_Usage!$C$2,3,8))+HEX2DEC(MID($N$59,3,5))*4+0,8),4))</f>
        <v>0x4000_0280</v>
      </c>
    </row>
    <row r="60" spans="1:18" ht="20.100000000000001" customHeight="1" x14ac:dyDescent="0.25">
      <c r="A60" s="30"/>
      <c r="B60" s="2" t="s">
        <v>49</v>
      </c>
      <c r="C60" s="30"/>
      <c r="D60" s="19"/>
      <c r="E60" s="19"/>
      <c r="F60" s="19"/>
      <c r="G60" s="19"/>
      <c r="H60" s="19"/>
      <c r="I60" s="19"/>
      <c r="J60" s="19"/>
      <c r="K60" s="19"/>
      <c r="L60" s="30"/>
      <c r="M60" s="30"/>
      <c r="N60" s="30"/>
      <c r="O60" s="2" t="str">
        <f>CONCATENATE("0x",DEC2HEX(HEX2DEC(MID($N$59,3,5))*4+2,6))</f>
        <v>0x000282</v>
      </c>
      <c r="P60" s="2" t="s">
        <v>111</v>
      </c>
      <c r="Q60" s="2" t="s">
        <v>49</v>
      </c>
      <c r="R60" s="30"/>
    </row>
    <row r="61" spans="1:18" ht="20.100000000000001" customHeight="1" x14ac:dyDescent="0.25">
      <c r="A61" s="30"/>
      <c r="B61" s="2" t="s">
        <v>49</v>
      </c>
      <c r="C61" s="30"/>
      <c r="D61" s="19"/>
      <c r="E61" s="19"/>
      <c r="F61" s="19"/>
      <c r="G61" s="19"/>
      <c r="H61" s="19"/>
      <c r="I61" s="19"/>
      <c r="J61" s="19"/>
      <c r="K61" s="19"/>
      <c r="L61" s="30"/>
      <c r="M61" s="30"/>
      <c r="N61" s="30"/>
      <c r="O61" s="2" t="str">
        <f>CONCATENATE("0x",DEC2HEX(HEX2DEC(MID($N$59,3,5))*4+1,6))</f>
        <v>0x000281</v>
      </c>
      <c r="P61" s="2" t="s">
        <v>111</v>
      </c>
      <c r="Q61" s="2" t="s">
        <v>49</v>
      </c>
      <c r="R61" s="30"/>
    </row>
    <row r="62" spans="1:18" ht="20.100000000000001" customHeight="1" x14ac:dyDescent="0.25">
      <c r="A62" s="31"/>
      <c r="B62" s="11" t="s">
        <v>118</v>
      </c>
      <c r="C62" s="31"/>
      <c r="D62" s="20"/>
      <c r="E62" s="20"/>
      <c r="F62" s="20"/>
      <c r="G62" s="20"/>
      <c r="H62" s="46" t="s">
        <v>185</v>
      </c>
      <c r="I62" s="47"/>
      <c r="J62" s="47"/>
      <c r="K62" s="48"/>
      <c r="L62" s="31"/>
      <c r="M62" s="31"/>
      <c r="N62" s="31"/>
      <c r="O62" s="11" t="str">
        <f>CONCATENATE("0x",DEC2HEX(HEX2DEC(MID($N$59,3,5))*4+0,6))</f>
        <v>0x000280</v>
      </c>
      <c r="P62" s="11" t="s">
        <v>111</v>
      </c>
      <c r="Q62" s="11" t="s">
        <v>42</v>
      </c>
      <c r="R62" s="31"/>
    </row>
    <row r="63" spans="1:18" ht="20.100000000000001" customHeight="1" x14ac:dyDescent="0.25">
      <c r="A63" s="29" t="s">
        <v>186</v>
      </c>
      <c r="B63" s="9" t="s">
        <v>49</v>
      </c>
      <c r="C63" s="29" t="s">
        <v>187</v>
      </c>
      <c r="D63" s="21"/>
      <c r="E63" s="21"/>
      <c r="F63" s="21"/>
      <c r="G63" s="21"/>
      <c r="H63" s="21"/>
      <c r="I63" s="21"/>
      <c r="J63" s="21"/>
      <c r="K63" s="21"/>
      <c r="L63" s="32" t="s">
        <v>188</v>
      </c>
      <c r="M63" s="32" t="s">
        <v>189</v>
      </c>
      <c r="N63" s="29" t="str">
        <f>CONCATENATE("0x",DEC2HEX(HEX2DEC(MID(Module_Address_Usage!$C$5,3,5))+HEX2DEC(MID($A63,3,5)),5))</f>
        <v>0x000A1</v>
      </c>
      <c r="O63" s="9" t="str">
        <f>CONCATENATE("0x",DEC2HEX(HEX2DEC(MID($N$63,3,5))*4+3,6))</f>
        <v>0x000287</v>
      </c>
      <c r="P63" s="9" t="s">
        <v>111</v>
      </c>
      <c r="Q63" s="9" t="s">
        <v>49</v>
      </c>
      <c r="R63" s="29" t="str">
        <f>CONCATENATE("0x",LEFT(DEC2HEX(HEX2DEC(MID(Module_Address_Usage!$C$2,3,8))+HEX2DEC(MID($N$63,3,5))*4+0,8),4),"_",RIGHT(DEC2HEX(HEX2DEC(MID(Module_Address_Usage!$C$2,3,8))+HEX2DEC(MID($N$63,3,5))*4+0,8),4))</f>
        <v>0x4000_0284</v>
      </c>
    </row>
    <row r="64" spans="1:18" ht="20.100000000000001" customHeight="1" x14ac:dyDescent="0.25">
      <c r="A64" s="30"/>
      <c r="B64" s="2" t="s">
        <v>49</v>
      </c>
      <c r="C64" s="30"/>
      <c r="D64" s="19"/>
      <c r="E64" s="19"/>
      <c r="F64" s="19"/>
      <c r="G64" s="19"/>
      <c r="H64" s="19"/>
      <c r="I64" s="19"/>
      <c r="J64" s="19"/>
      <c r="K64" s="19"/>
      <c r="L64" s="30"/>
      <c r="M64" s="30"/>
      <c r="N64" s="30"/>
      <c r="O64" s="2" t="str">
        <f>CONCATENATE("0x",DEC2HEX(HEX2DEC(MID($N$63,3,5))*4+2,6))</f>
        <v>0x000286</v>
      </c>
      <c r="P64" s="2" t="s">
        <v>111</v>
      </c>
      <c r="Q64" s="2" t="s">
        <v>49</v>
      </c>
      <c r="R64" s="30"/>
    </row>
    <row r="65" spans="1:18" ht="20.100000000000001" customHeight="1" x14ac:dyDescent="0.25">
      <c r="A65" s="30"/>
      <c r="B65" s="2" t="s">
        <v>49</v>
      </c>
      <c r="C65" s="30"/>
      <c r="D65" s="19"/>
      <c r="E65" s="19"/>
      <c r="F65" s="19"/>
      <c r="G65" s="19"/>
      <c r="H65" s="19"/>
      <c r="I65" s="19"/>
      <c r="J65" s="19"/>
      <c r="K65" s="19"/>
      <c r="L65" s="30"/>
      <c r="M65" s="30"/>
      <c r="N65" s="30"/>
      <c r="O65" s="2" t="str">
        <f>CONCATENATE("0x",DEC2HEX(HEX2DEC(MID($N$63,3,5))*4+1,6))</f>
        <v>0x000285</v>
      </c>
      <c r="P65" s="2" t="s">
        <v>111</v>
      </c>
      <c r="Q65" s="2" t="s">
        <v>49</v>
      </c>
      <c r="R65" s="30"/>
    </row>
    <row r="66" spans="1:18" ht="20.100000000000001" customHeight="1" x14ac:dyDescent="0.25">
      <c r="A66" s="31"/>
      <c r="B66" s="11" t="s">
        <v>118</v>
      </c>
      <c r="C66" s="31"/>
      <c r="D66" s="20"/>
      <c r="E66" s="20"/>
      <c r="F66" s="20"/>
      <c r="G66" s="20"/>
      <c r="H66" s="46" t="s">
        <v>190</v>
      </c>
      <c r="I66" s="47"/>
      <c r="J66" s="47"/>
      <c r="K66" s="48"/>
      <c r="L66" s="31"/>
      <c r="M66" s="31"/>
      <c r="N66" s="31"/>
      <c r="O66" s="11" t="str">
        <f>CONCATENATE("0x",DEC2HEX(HEX2DEC(MID($N$63,3,5))*4+0,6))</f>
        <v>0x000284</v>
      </c>
      <c r="P66" s="11" t="s">
        <v>111</v>
      </c>
      <c r="Q66" s="11" t="s">
        <v>42</v>
      </c>
      <c r="R66" s="31"/>
    </row>
    <row r="67" spans="1:18" ht="20.100000000000001" customHeight="1" x14ac:dyDescent="0.25">
      <c r="A67" s="29" t="s">
        <v>191</v>
      </c>
      <c r="B67" s="9" t="s">
        <v>49</v>
      </c>
      <c r="C67" s="29" t="s">
        <v>192</v>
      </c>
      <c r="D67" s="21"/>
      <c r="E67" s="21"/>
      <c r="F67" s="21"/>
      <c r="G67" s="21"/>
      <c r="H67" s="21"/>
      <c r="I67" s="21"/>
      <c r="J67" s="21"/>
      <c r="K67" s="21"/>
      <c r="L67" s="32" t="s">
        <v>193</v>
      </c>
      <c r="M67" s="32" t="s">
        <v>194</v>
      </c>
      <c r="N67" s="29" t="str">
        <f>CONCATENATE("0x",DEC2HEX(HEX2DEC(MID(Module_Address_Usage!$C$5,3,5))+HEX2DEC(MID($A67,3,5)),5))</f>
        <v>0x000A2</v>
      </c>
      <c r="O67" s="9" t="str">
        <f>CONCATENATE("0x",DEC2HEX(HEX2DEC(MID($N$67,3,5))*4+3,6))</f>
        <v>0x00028B</v>
      </c>
      <c r="P67" s="9" t="s">
        <v>111</v>
      </c>
      <c r="Q67" s="9" t="s">
        <v>49</v>
      </c>
      <c r="R67" s="29" t="str">
        <f>CONCATENATE("0x",LEFT(DEC2HEX(HEX2DEC(MID(Module_Address_Usage!$C$2,3,8))+HEX2DEC(MID($N$67,3,5))*4+0,8),4),"_",RIGHT(DEC2HEX(HEX2DEC(MID(Module_Address_Usage!$C$2,3,8))+HEX2DEC(MID($N$67,3,5))*4+0,8),4))</f>
        <v>0x4000_0288</v>
      </c>
    </row>
    <row r="68" spans="1:18" ht="20.100000000000001" customHeight="1" x14ac:dyDescent="0.25">
      <c r="A68" s="30"/>
      <c r="B68" s="2" t="s">
        <v>49</v>
      </c>
      <c r="C68" s="30"/>
      <c r="D68" s="19"/>
      <c r="E68" s="19"/>
      <c r="F68" s="19"/>
      <c r="G68" s="19"/>
      <c r="H68" s="19"/>
      <c r="I68" s="19"/>
      <c r="J68" s="19"/>
      <c r="K68" s="19"/>
      <c r="L68" s="30"/>
      <c r="M68" s="30"/>
      <c r="N68" s="30"/>
      <c r="O68" s="2" t="str">
        <f>CONCATENATE("0x",DEC2HEX(HEX2DEC(MID($N$67,3,5))*4+2,6))</f>
        <v>0x00028A</v>
      </c>
      <c r="P68" s="2" t="s">
        <v>111</v>
      </c>
      <c r="Q68" s="2" t="s">
        <v>49</v>
      </c>
      <c r="R68" s="30"/>
    </row>
    <row r="69" spans="1:18" ht="20.100000000000001" customHeight="1" x14ac:dyDescent="0.25">
      <c r="A69" s="30"/>
      <c r="B69" s="2" t="s">
        <v>49</v>
      </c>
      <c r="C69" s="30"/>
      <c r="D69" s="19"/>
      <c r="E69" s="19"/>
      <c r="F69" s="19"/>
      <c r="G69" s="19"/>
      <c r="H69" s="19"/>
      <c r="I69" s="19"/>
      <c r="J69" s="19"/>
      <c r="K69" s="19"/>
      <c r="L69" s="30"/>
      <c r="M69" s="30"/>
      <c r="N69" s="30"/>
      <c r="O69" s="2" t="str">
        <f>CONCATENATE("0x",DEC2HEX(HEX2DEC(MID($N$67,3,5))*4+1,6))</f>
        <v>0x000289</v>
      </c>
      <c r="P69" s="2" t="s">
        <v>111</v>
      </c>
      <c r="Q69" s="2" t="s">
        <v>49</v>
      </c>
      <c r="R69" s="30"/>
    </row>
    <row r="70" spans="1:18" ht="20.100000000000001" customHeight="1" x14ac:dyDescent="0.25">
      <c r="A70" s="31"/>
      <c r="B70" s="11" t="s">
        <v>118</v>
      </c>
      <c r="C70" s="31"/>
      <c r="D70" s="20"/>
      <c r="E70" s="20"/>
      <c r="F70" s="20"/>
      <c r="G70" s="20"/>
      <c r="H70" s="46" t="s">
        <v>195</v>
      </c>
      <c r="I70" s="47"/>
      <c r="J70" s="47"/>
      <c r="K70" s="48"/>
      <c r="L70" s="31"/>
      <c r="M70" s="31"/>
      <c r="N70" s="31"/>
      <c r="O70" s="11" t="str">
        <f>CONCATENATE("0x",DEC2HEX(HEX2DEC(MID($N$67,3,5))*4+0,6))</f>
        <v>0x000288</v>
      </c>
      <c r="P70" s="11" t="s">
        <v>111</v>
      </c>
      <c r="Q70" s="11" t="s">
        <v>42</v>
      </c>
      <c r="R70" s="31"/>
    </row>
    <row r="71" spans="1:18" ht="20.100000000000001" customHeight="1" x14ac:dyDescent="0.25">
      <c r="A71" s="29" t="s">
        <v>196</v>
      </c>
      <c r="B71" s="9" t="s">
        <v>49</v>
      </c>
      <c r="C71" s="29" t="s">
        <v>197</v>
      </c>
      <c r="D71" s="21"/>
      <c r="E71" s="21"/>
      <c r="F71" s="21"/>
      <c r="G71" s="21"/>
      <c r="H71" s="21"/>
      <c r="I71" s="21"/>
      <c r="J71" s="21"/>
      <c r="K71" s="21"/>
      <c r="L71" s="32" t="s">
        <v>198</v>
      </c>
      <c r="M71" s="32" t="s">
        <v>199</v>
      </c>
      <c r="N71" s="29" t="str">
        <f>CONCATENATE("0x",DEC2HEX(HEX2DEC(MID(Module_Address_Usage!$C$5,3,5))+HEX2DEC(MID($A71,3,5)),5))</f>
        <v>0x000A3</v>
      </c>
      <c r="O71" s="9" t="str">
        <f>CONCATENATE("0x",DEC2HEX(HEX2DEC(MID($N$71,3,5))*4+3,6))</f>
        <v>0x00028F</v>
      </c>
      <c r="P71" s="9" t="s">
        <v>111</v>
      </c>
      <c r="Q71" s="9" t="s">
        <v>49</v>
      </c>
      <c r="R71" s="29" t="str">
        <f>CONCATENATE("0x",LEFT(DEC2HEX(HEX2DEC(MID(Module_Address_Usage!$C$2,3,8))+HEX2DEC(MID($N$71,3,5))*4+0,8),4),"_",RIGHT(DEC2HEX(HEX2DEC(MID(Module_Address_Usage!$C$2,3,8))+HEX2DEC(MID($N$71,3,5))*4+0,8),4))</f>
        <v>0x4000_028C</v>
      </c>
    </row>
    <row r="72" spans="1:18" ht="20.100000000000001" customHeight="1" x14ac:dyDescent="0.25">
      <c r="A72" s="30"/>
      <c r="B72" s="2" t="s">
        <v>49</v>
      </c>
      <c r="C72" s="30"/>
      <c r="D72" s="19"/>
      <c r="E72" s="19"/>
      <c r="F72" s="19"/>
      <c r="G72" s="19"/>
      <c r="H72" s="19"/>
      <c r="I72" s="19"/>
      <c r="J72" s="19"/>
      <c r="K72" s="19"/>
      <c r="L72" s="30"/>
      <c r="M72" s="30"/>
      <c r="N72" s="30"/>
      <c r="O72" s="2" t="str">
        <f>CONCATENATE("0x",DEC2HEX(HEX2DEC(MID($N$71,3,5))*4+2,6))</f>
        <v>0x00028E</v>
      </c>
      <c r="P72" s="2" t="s">
        <v>111</v>
      </c>
      <c r="Q72" s="2" t="s">
        <v>49</v>
      </c>
      <c r="R72" s="30"/>
    </row>
    <row r="73" spans="1:18" ht="20.100000000000001" customHeight="1" x14ac:dyDescent="0.25">
      <c r="A73" s="30"/>
      <c r="B73" s="2" t="s">
        <v>49</v>
      </c>
      <c r="C73" s="30"/>
      <c r="D73" s="19"/>
      <c r="E73" s="19"/>
      <c r="F73" s="19"/>
      <c r="G73" s="19"/>
      <c r="H73" s="19"/>
      <c r="I73" s="19"/>
      <c r="J73" s="19"/>
      <c r="K73" s="19"/>
      <c r="L73" s="30"/>
      <c r="M73" s="30"/>
      <c r="N73" s="30"/>
      <c r="O73" s="2" t="str">
        <f>CONCATENATE("0x",DEC2HEX(HEX2DEC(MID($N$71,3,5))*4+1,6))</f>
        <v>0x00028D</v>
      </c>
      <c r="P73" s="2" t="s">
        <v>111</v>
      </c>
      <c r="Q73" s="2" t="s">
        <v>49</v>
      </c>
      <c r="R73" s="30"/>
    </row>
    <row r="74" spans="1:18" ht="20.100000000000001" customHeight="1" x14ac:dyDescent="0.25">
      <c r="A74" s="31"/>
      <c r="B74" s="11" t="s">
        <v>112</v>
      </c>
      <c r="C74" s="31"/>
      <c r="D74" s="20"/>
      <c r="E74" s="20"/>
      <c r="F74" s="20"/>
      <c r="G74" s="20"/>
      <c r="H74" s="46" t="s">
        <v>200</v>
      </c>
      <c r="I74" s="47"/>
      <c r="J74" s="47"/>
      <c r="K74" s="48"/>
      <c r="L74" s="31"/>
      <c r="M74" s="31"/>
      <c r="N74" s="31"/>
      <c r="O74" s="11" t="str">
        <f>CONCATENATE("0x",DEC2HEX(HEX2DEC(MID($N$71,3,5))*4+0,6))</f>
        <v>0x00028C</v>
      </c>
      <c r="P74" s="11" t="s">
        <v>138</v>
      </c>
      <c r="Q74" s="11" t="s">
        <v>42</v>
      </c>
      <c r="R74" s="31"/>
    </row>
    <row r="75" spans="1:18" ht="20.100000000000001" customHeight="1" x14ac:dyDescent="0.25">
      <c r="A75" s="29" t="s">
        <v>201</v>
      </c>
      <c r="B75" s="9" t="s">
        <v>49</v>
      </c>
      <c r="C75" s="29" t="s">
        <v>202</v>
      </c>
      <c r="D75" s="21"/>
      <c r="E75" s="21"/>
      <c r="F75" s="21"/>
      <c r="G75" s="21"/>
      <c r="H75" s="21"/>
      <c r="I75" s="21"/>
      <c r="J75" s="21"/>
      <c r="K75" s="21"/>
      <c r="L75" s="32" t="s">
        <v>203</v>
      </c>
      <c r="M75" s="32" t="s">
        <v>204</v>
      </c>
      <c r="N75" s="29" t="str">
        <f>CONCATENATE("0x",DEC2HEX(HEX2DEC(MID(Module_Address_Usage!$C$5,3,5))+HEX2DEC(MID($A75,3,5)),5))</f>
        <v>0x000A4</v>
      </c>
      <c r="O75" s="9" t="str">
        <f>CONCATENATE("0x",DEC2HEX(HEX2DEC(MID($N$75,3,5))*4+3,6))</f>
        <v>0x000293</v>
      </c>
      <c r="P75" s="9" t="s">
        <v>111</v>
      </c>
      <c r="Q75" s="9" t="s">
        <v>49</v>
      </c>
      <c r="R75" s="29" t="str">
        <f>CONCATENATE("0x",LEFT(DEC2HEX(HEX2DEC(MID(Module_Address_Usage!$C$2,3,8))+HEX2DEC(MID($N$75,3,5))*4+0,8),4),"_",RIGHT(DEC2HEX(HEX2DEC(MID(Module_Address_Usage!$C$2,3,8))+HEX2DEC(MID($N$75,3,5))*4+0,8),4))</f>
        <v>0x4000_0290</v>
      </c>
    </row>
    <row r="76" spans="1:18" ht="20.100000000000001" customHeight="1" x14ac:dyDescent="0.25">
      <c r="A76" s="30"/>
      <c r="B76" s="2" t="s">
        <v>49</v>
      </c>
      <c r="C76" s="30"/>
      <c r="D76" s="19"/>
      <c r="E76" s="19"/>
      <c r="F76" s="19"/>
      <c r="G76" s="19"/>
      <c r="H76" s="19"/>
      <c r="I76" s="19"/>
      <c r="J76" s="19"/>
      <c r="K76" s="19"/>
      <c r="L76" s="30"/>
      <c r="M76" s="30"/>
      <c r="N76" s="30"/>
      <c r="O76" s="2" t="str">
        <f>CONCATENATE("0x",DEC2HEX(HEX2DEC(MID($N$75,3,5))*4+2,6))</f>
        <v>0x000292</v>
      </c>
      <c r="P76" s="2" t="s">
        <v>111</v>
      </c>
      <c r="Q76" s="2" t="s">
        <v>49</v>
      </c>
      <c r="R76" s="30"/>
    </row>
    <row r="77" spans="1:18" ht="20.100000000000001" customHeight="1" x14ac:dyDescent="0.25">
      <c r="A77" s="30"/>
      <c r="B77" s="2" t="s">
        <v>49</v>
      </c>
      <c r="C77" s="30"/>
      <c r="D77" s="19"/>
      <c r="E77" s="19"/>
      <c r="F77" s="19"/>
      <c r="G77" s="19"/>
      <c r="H77" s="19"/>
      <c r="I77" s="19"/>
      <c r="J77" s="19"/>
      <c r="K77" s="19"/>
      <c r="L77" s="30"/>
      <c r="M77" s="30"/>
      <c r="N77" s="30"/>
      <c r="O77" s="2" t="str">
        <f>CONCATENATE("0x",DEC2HEX(HEX2DEC(MID($N$75,3,5))*4+1,6))</f>
        <v>0x000291</v>
      </c>
      <c r="P77" s="2" t="s">
        <v>111</v>
      </c>
      <c r="Q77" s="2" t="s">
        <v>49</v>
      </c>
      <c r="R77" s="30"/>
    </row>
    <row r="78" spans="1:18" ht="20.100000000000001" customHeight="1" x14ac:dyDescent="0.25">
      <c r="A78" s="31"/>
      <c r="B78" s="11" t="s">
        <v>112</v>
      </c>
      <c r="C78" s="31"/>
      <c r="D78" s="20"/>
      <c r="E78" s="20"/>
      <c r="F78" s="20"/>
      <c r="G78" s="20"/>
      <c r="H78" s="46" t="s">
        <v>205</v>
      </c>
      <c r="I78" s="47"/>
      <c r="J78" s="47"/>
      <c r="K78" s="48"/>
      <c r="L78" s="31"/>
      <c r="M78" s="31"/>
      <c r="N78" s="31"/>
      <c r="O78" s="11" t="str">
        <f>CONCATENATE("0x",DEC2HEX(HEX2DEC(MID($N$75,3,5))*4+0,6))</f>
        <v>0x000290</v>
      </c>
      <c r="P78" s="11" t="s">
        <v>138</v>
      </c>
      <c r="Q78" s="11" t="s">
        <v>42</v>
      </c>
      <c r="R78" s="31"/>
    </row>
    <row r="79" spans="1:18" ht="20.100000000000001" customHeight="1" x14ac:dyDescent="0.25">
      <c r="A79" s="29" t="s">
        <v>206</v>
      </c>
      <c r="B79" s="9" t="s">
        <v>49</v>
      </c>
      <c r="C79" s="29" t="s">
        <v>207</v>
      </c>
      <c r="D79" s="21"/>
      <c r="E79" s="21"/>
      <c r="F79" s="21"/>
      <c r="G79" s="21"/>
      <c r="H79" s="21"/>
      <c r="I79" s="21"/>
      <c r="J79" s="21"/>
      <c r="K79" s="21"/>
      <c r="L79" s="32" t="s">
        <v>208</v>
      </c>
      <c r="M79" s="32" t="s">
        <v>209</v>
      </c>
      <c r="N79" s="29" t="str">
        <f>CONCATENATE("0x",DEC2HEX(HEX2DEC(MID(Module_Address_Usage!$C$5,3,5))+HEX2DEC(MID($A79,3,5)),5))</f>
        <v>0x000A5</v>
      </c>
      <c r="O79" s="9" t="str">
        <f>CONCATENATE("0x",DEC2HEX(HEX2DEC(MID($N$79,3,5))*4+3,6))</f>
        <v>0x000297</v>
      </c>
      <c r="P79" s="9" t="s">
        <v>111</v>
      </c>
      <c r="Q79" s="9" t="s">
        <v>49</v>
      </c>
      <c r="R79" s="29" t="str">
        <f>CONCATENATE("0x",LEFT(DEC2HEX(HEX2DEC(MID(Module_Address_Usage!$C$2,3,8))+HEX2DEC(MID($N$79,3,5))*4+0,8),4),"_",RIGHT(DEC2HEX(HEX2DEC(MID(Module_Address_Usage!$C$2,3,8))+HEX2DEC(MID($N$79,3,5))*4+0,8),4))</f>
        <v>0x4000_0294</v>
      </c>
    </row>
    <row r="80" spans="1:18" ht="20.100000000000001" customHeight="1" x14ac:dyDescent="0.25">
      <c r="A80" s="30"/>
      <c r="B80" s="2" t="s">
        <v>49</v>
      </c>
      <c r="C80" s="30"/>
      <c r="D80" s="19"/>
      <c r="E80" s="19"/>
      <c r="F80" s="19"/>
      <c r="G80" s="19"/>
      <c r="H80" s="19"/>
      <c r="I80" s="19"/>
      <c r="J80" s="19"/>
      <c r="K80" s="19"/>
      <c r="L80" s="30"/>
      <c r="M80" s="30"/>
      <c r="N80" s="30"/>
      <c r="O80" s="2" t="str">
        <f>CONCATENATE("0x",DEC2HEX(HEX2DEC(MID($N$79,3,5))*4+2,6))</f>
        <v>0x000296</v>
      </c>
      <c r="P80" s="2" t="s">
        <v>111</v>
      </c>
      <c r="Q80" s="2" t="s">
        <v>49</v>
      </c>
      <c r="R80" s="30"/>
    </row>
    <row r="81" spans="1:18" ht="20.100000000000001" customHeight="1" x14ac:dyDescent="0.25">
      <c r="A81" s="30"/>
      <c r="B81" s="2" t="s">
        <v>49</v>
      </c>
      <c r="C81" s="30"/>
      <c r="D81" s="19"/>
      <c r="E81" s="19"/>
      <c r="F81" s="19"/>
      <c r="G81" s="19"/>
      <c r="H81" s="19"/>
      <c r="I81" s="19"/>
      <c r="J81" s="19"/>
      <c r="K81" s="19"/>
      <c r="L81" s="30"/>
      <c r="M81" s="30"/>
      <c r="N81" s="30"/>
      <c r="O81" s="2" t="str">
        <f>CONCATENATE("0x",DEC2HEX(HEX2DEC(MID($N$79,3,5))*4+1,6))</f>
        <v>0x000295</v>
      </c>
      <c r="P81" s="2" t="s">
        <v>111</v>
      </c>
      <c r="Q81" s="2" t="s">
        <v>49</v>
      </c>
      <c r="R81" s="30"/>
    </row>
    <row r="82" spans="1:18" ht="20.100000000000001" customHeight="1" x14ac:dyDescent="0.25">
      <c r="A82" s="31"/>
      <c r="B82" s="11" t="s">
        <v>112</v>
      </c>
      <c r="C82" s="31"/>
      <c r="D82" s="20"/>
      <c r="E82" s="20"/>
      <c r="F82" s="20"/>
      <c r="G82" s="20"/>
      <c r="H82" s="46" t="s">
        <v>210</v>
      </c>
      <c r="I82" s="47"/>
      <c r="J82" s="47"/>
      <c r="K82" s="48"/>
      <c r="L82" s="31"/>
      <c r="M82" s="31"/>
      <c r="N82" s="31"/>
      <c r="O82" s="11" t="str">
        <f>CONCATENATE("0x",DEC2HEX(HEX2DEC(MID($N$79,3,5))*4+0,6))</f>
        <v>0x000294</v>
      </c>
      <c r="P82" s="11" t="s">
        <v>138</v>
      </c>
      <c r="Q82" s="11" t="s">
        <v>42</v>
      </c>
      <c r="R82" s="31"/>
    </row>
    <row r="83" spans="1:18" ht="27" customHeight="1" x14ac:dyDescent="0.25">
      <c r="A83" s="8" t="s">
        <v>211</v>
      </c>
      <c r="B83" s="8" t="s">
        <v>49</v>
      </c>
      <c r="C83" s="8" t="s">
        <v>47</v>
      </c>
      <c r="D83" s="26"/>
      <c r="E83" s="27"/>
      <c r="F83" s="27"/>
      <c r="G83" s="27"/>
      <c r="H83" s="27"/>
      <c r="I83" s="27"/>
      <c r="J83" s="27"/>
      <c r="K83" s="28"/>
      <c r="L83" s="10" t="s">
        <v>47</v>
      </c>
      <c r="M83" s="10" t="s">
        <v>120</v>
      </c>
      <c r="N83" s="8" t="str">
        <f>CONCATENATE("0x",DEC2HEX(HEX2DEC(MID(Module_Address_Usage!$C$5,3,5))+HEX2DEC(MID($A83,3,5)),5))&amp;CHAR(10)&amp;"~ "&amp;CONCATENATE("0x",DEC2HEX(HEX2DEC(MID(Module_Address_Usage!$C$5,3,5))+HEX2DEC(MID($A83,13,5)),5))</f>
        <v>0x000A6
~ 0x000FF</v>
      </c>
      <c r="O83" s="8" t="str">
        <f>CONCATENATE("0x",DEC2HEX(HEX2DEC(MID(CONCATENATE("0x",DEC2HEX(HEX2DEC(MID(Module_Address_Usage!$C$5,3,5))+HEX2DEC(MID($A83,3,5)),5)),3,5))*4+0,6))&amp;CHAR(10)&amp;"~ "&amp;CONCATENATE("0x",DEC2HEX(HEX2DEC(MID(CONCATENATE("0x",DEC2HEX(HEX2DEC(MID(Module_Address_Usage!$C$5,3,5))+HEX2DEC(MID($A83,13,5)),5)),3,5))*4+3,6))</f>
        <v>0x000298
~ 0x0003FF</v>
      </c>
      <c r="P83" s="8" t="s">
        <v>111</v>
      </c>
      <c r="Q83" s="8" t="s">
        <v>49</v>
      </c>
      <c r="R83" s="8" t="str">
        <f>CONCATENATE("0x",LEFT(DEC2HEX(HEX2DEC(MID(Module_Address_Usage!$C$2,3,8))+HEX2DEC(MID(CONCATENATE("0x",DEC2HEX(HEX2DEC(MID(Module_Address_Usage!$C$5,3,5))+HEX2DEC(MID($A83,3,5)),5)),3,5))*4+0,8),4),"_",RIGHT(DEC2HEX(HEX2DEC(MID(Module_Address_Usage!$C$2,3,8))+HEX2DEC(MID(CONCATENATE("0x",DEC2HEX(HEX2DEC(MID(Module_Address_Usage!$C$5,3,5))+HEX2DEC(MID($A83,3,5)),5)),3,5))*4+0,8),4))&amp;CHAR(10)&amp;"~ "&amp;CONCATENATE("0x",LEFT(DEC2HEX(HEX2DEC(MID(Module_Address_Usage!$C$2,3,8))+HEX2DEC(MID(CONCATENATE("0x",DEC2HEX(HEX2DEC(MID(Module_Address_Usage!$C$5,3,5))+HEX2DEC(MID($A83,13,5)),5)),3,5))*4+3,8),4),"_",RIGHT(DEC2HEX(HEX2DEC(MID(Module_Address_Usage!$C$2,3,8))+HEX2DEC(MID(CONCATENATE("0x",DEC2HEX(HEX2DEC(MID(Module_Address_Usage!$C$5,3,5))+HEX2DEC(MID($A83,13,5)),5)),3,5))*4+3,8),4))</f>
        <v>0x4000_0298
~ 0x4000_03FF</v>
      </c>
    </row>
  </sheetData>
  <mergeCells count="150">
    <mergeCell ref="A79:A82"/>
    <mergeCell ref="N1:R2"/>
    <mergeCell ref="A1:A4"/>
    <mergeCell ref="N50:N53"/>
    <mergeCell ref="H24:K24"/>
    <mergeCell ref="A54:A57"/>
    <mergeCell ref="C79:C82"/>
    <mergeCell ref="C54:C57"/>
    <mergeCell ref="M1:M4"/>
    <mergeCell ref="N3:O3"/>
    <mergeCell ref="H82:K82"/>
    <mergeCell ref="H53:K53"/>
    <mergeCell ref="L42:L45"/>
    <mergeCell ref="N42:N45"/>
    <mergeCell ref="A71:A74"/>
    <mergeCell ref="L29:L32"/>
    <mergeCell ref="C71:C74"/>
    <mergeCell ref="H62:K62"/>
    <mergeCell ref="R71:R74"/>
    <mergeCell ref="R42:R45"/>
    <mergeCell ref="L46:L49"/>
    <mergeCell ref="M17:M20"/>
    <mergeCell ref="M71:M74"/>
    <mergeCell ref="M79:M82"/>
    <mergeCell ref="D83:K83"/>
    <mergeCell ref="A34:A37"/>
    <mergeCell ref="R46:R49"/>
    <mergeCell ref="Q3:Q4"/>
    <mergeCell ref="C34:C37"/>
    <mergeCell ref="M34:M37"/>
    <mergeCell ref="H45:K45"/>
    <mergeCell ref="N54:N57"/>
    <mergeCell ref="N63:N66"/>
    <mergeCell ref="H37:K37"/>
    <mergeCell ref="M9:M12"/>
    <mergeCell ref="C5:C8"/>
    <mergeCell ref="M5:M8"/>
    <mergeCell ref="R63:R66"/>
    <mergeCell ref="N29:N32"/>
    <mergeCell ref="R75:R78"/>
    <mergeCell ref="L50:L53"/>
    <mergeCell ref="H49:K49"/>
    <mergeCell ref="L59:L62"/>
    <mergeCell ref="D58:K58"/>
    <mergeCell ref="N59:N62"/>
    <mergeCell ref="M50:M53"/>
    <mergeCell ref="N25:N28"/>
    <mergeCell ref="M59:M62"/>
    <mergeCell ref="A25:A28"/>
    <mergeCell ref="C9:C12"/>
    <mergeCell ref="O5:O8"/>
    <mergeCell ref="R34:R37"/>
    <mergeCell ref="Q5:Q8"/>
    <mergeCell ref="R17:R20"/>
    <mergeCell ref="C42:C45"/>
    <mergeCell ref="C29:C32"/>
    <mergeCell ref="C21:C24"/>
    <mergeCell ref="A17:A20"/>
    <mergeCell ref="A21:A24"/>
    <mergeCell ref="A5:A8"/>
    <mergeCell ref="A9:A12"/>
    <mergeCell ref="N17:N20"/>
    <mergeCell ref="L5:L8"/>
    <mergeCell ref="H41:K41"/>
    <mergeCell ref="N5:N8"/>
    <mergeCell ref="M13:M16"/>
    <mergeCell ref="N13:N16"/>
    <mergeCell ref="R29:R32"/>
    <mergeCell ref="R38:R41"/>
    <mergeCell ref="N79:N82"/>
    <mergeCell ref="H28:K28"/>
    <mergeCell ref="R79:R82"/>
    <mergeCell ref="L13:L16"/>
    <mergeCell ref="H12:K12"/>
    <mergeCell ref="N21:N24"/>
    <mergeCell ref="L71:L74"/>
    <mergeCell ref="N71:N74"/>
    <mergeCell ref="R67:R70"/>
    <mergeCell ref="R54:R57"/>
    <mergeCell ref="L79:L82"/>
    <mergeCell ref="R9:R12"/>
    <mergeCell ref="D33:K33"/>
    <mergeCell ref="L21:L24"/>
    <mergeCell ref="R13:R16"/>
    <mergeCell ref="R59:R62"/>
    <mergeCell ref="R25:R28"/>
    <mergeCell ref="R21:R24"/>
    <mergeCell ref="M75:M78"/>
    <mergeCell ref="N67:N70"/>
    <mergeCell ref="A75:A78"/>
    <mergeCell ref="C75:C78"/>
    <mergeCell ref="N46:N49"/>
    <mergeCell ref="A50:A53"/>
    <mergeCell ref="C50:C53"/>
    <mergeCell ref="C59:C62"/>
    <mergeCell ref="N38:N41"/>
    <mergeCell ref="A38:A41"/>
    <mergeCell ref="M63:M66"/>
    <mergeCell ref="L75:L78"/>
    <mergeCell ref="N75:N78"/>
    <mergeCell ref="M67:M70"/>
    <mergeCell ref="H78:K78"/>
    <mergeCell ref="C67:C70"/>
    <mergeCell ref="H70:K70"/>
    <mergeCell ref="A59:A62"/>
    <mergeCell ref="A67:A70"/>
    <mergeCell ref="C46:C49"/>
    <mergeCell ref="A63:A66"/>
    <mergeCell ref="A46:A49"/>
    <mergeCell ref="B1:B4"/>
    <mergeCell ref="M46:M49"/>
    <mergeCell ref="L54:L57"/>
    <mergeCell ref="D5:K8"/>
    <mergeCell ref="L63:L66"/>
    <mergeCell ref="M25:M28"/>
    <mergeCell ref="L38:L41"/>
    <mergeCell ref="C1:C4"/>
    <mergeCell ref="C63:C66"/>
    <mergeCell ref="C25:C28"/>
    <mergeCell ref="C17:C20"/>
    <mergeCell ref="L1:L4"/>
    <mergeCell ref="M42:M45"/>
    <mergeCell ref="M29:M32"/>
    <mergeCell ref="M54:M57"/>
    <mergeCell ref="H20:K20"/>
    <mergeCell ref="H32:K32"/>
    <mergeCell ref="P3:P4"/>
    <mergeCell ref="M21:M24"/>
    <mergeCell ref="A42:A45"/>
    <mergeCell ref="R3:R4"/>
    <mergeCell ref="H74:K74"/>
    <mergeCell ref="L25:L28"/>
    <mergeCell ref="L34:L37"/>
    <mergeCell ref="A29:A32"/>
    <mergeCell ref="N34:N37"/>
    <mergeCell ref="R50:R53"/>
    <mergeCell ref="C38:C41"/>
    <mergeCell ref="L9:L12"/>
    <mergeCell ref="B5:B8"/>
    <mergeCell ref="A13:A16"/>
    <mergeCell ref="N9:N12"/>
    <mergeCell ref="C13:C16"/>
    <mergeCell ref="L17:L20"/>
    <mergeCell ref="H16:K16"/>
    <mergeCell ref="P5:P8"/>
    <mergeCell ref="R5:R8"/>
    <mergeCell ref="H57:K57"/>
    <mergeCell ref="L67:L70"/>
    <mergeCell ref="H66:K66"/>
    <mergeCell ref="M38:M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92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V17" sqref="V17"/>
    </sheetView>
  </sheetViews>
  <sheetFormatPr defaultRowHeight="15" x14ac:dyDescent="0.25"/>
  <cols>
    <col min="1" max="1" width="10.42578125" customWidth="1"/>
    <col min="2" max="2" width="5.42578125" customWidth="1"/>
    <col min="3" max="3" width="24" customWidth="1"/>
    <col min="4" max="11" width="9.42578125" customWidth="1"/>
    <col min="12" max="12" width="46" customWidth="1"/>
    <col min="13" max="13" width="40" customWidth="1"/>
    <col min="14" max="14" width="9.42578125" customWidth="1"/>
    <col min="15" max="15" width="10" customWidth="1"/>
    <col min="16" max="16" width="8" customWidth="1"/>
    <col min="17" max="17" width="7" customWidth="1"/>
    <col min="18" max="18" width="14" customWidth="1"/>
  </cols>
  <sheetData>
    <row r="1" spans="1:18" x14ac:dyDescent="0.25">
      <c r="A1" s="33" t="s">
        <v>65</v>
      </c>
      <c r="B1" s="33" t="s">
        <v>66</v>
      </c>
      <c r="C1" s="33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33" t="s">
        <v>76</v>
      </c>
      <c r="M1" s="33" t="s">
        <v>77</v>
      </c>
      <c r="N1" s="36" t="str">
        <f>"DUT_ARINC_717 (Base address: "&amp;Module_Address_Usage!$C$18&amp;")"</f>
        <v>DUT_ARINC_717 (Base address: 0x60000000)</v>
      </c>
      <c r="O1" s="37"/>
      <c r="P1" s="37"/>
      <c r="Q1" s="37"/>
      <c r="R1" s="38"/>
    </row>
    <row r="2" spans="1:18" x14ac:dyDescent="0.25">
      <c r="A2" s="30"/>
      <c r="B2" s="30"/>
      <c r="C2" s="30"/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 s="1" t="s">
        <v>84</v>
      </c>
      <c r="K2" s="1" t="s">
        <v>85</v>
      </c>
      <c r="L2" s="30"/>
      <c r="M2" s="30"/>
      <c r="N2" s="39"/>
      <c r="O2" s="40"/>
      <c r="P2" s="40"/>
      <c r="Q2" s="40"/>
      <c r="R2" s="41"/>
    </row>
    <row r="3" spans="1:18" x14ac:dyDescent="0.25">
      <c r="A3" s="30"/>
      <c r="B3" s="30"/>
      <c r="C3" s="30"/>
      <c r="D3" s="1" t="s">
        <v>86</v>
      </c>
      <c r="E3" s="1" t="s">
        <v>87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92</v>
      </c>
      <c r="K3" s="1" t="s">
        <v>93</v>
      </c>
      <c r="L3" s="30"/>
      <c r="M3" s="30"/>
      <c r="N3" s="33" t="s">
        <v>94</v>
      </c>
      <c r="O3" s="25"/>
      <c r="P3" s="33" t="s">
        <v>95</v>
      </c>
      <c r="Q3" s="33" t="s">
        <v>33</v>
      </c>
      <c r="R3" s="33" t="s">
        <v>96</v>
      </c>
    </row>
    <row r="4" spans="1:18" x14ac:dyDescent="0.25">
      <c r="A4" s="34"/>
      <c r="B4" s="34"/>
      <c r="C4" s="34"/>
      <c r="D4" s="1" t="s">
        <v>97</v>
      </c>
      <c r="E4" s="1" t="s">
        <v>98</v>
      </c>
      <c r="F4" s="1" t="s">
        <v>99</v>
      </c>
      <c r="G4" s="1" t="s">
        <v>100</v>
      </c>
      <c r="H4" s="1" t="s">
        <v>101</v>
      </c>
      <c r="I4" s="1" t="s">
        <v>102</v>
      </c>
      <c r="J4" s="1" t="s">
        <v>103</v>
      </c>
      <c r="K4" s="1" t="s">
        <v>104</v>
      </c>
      <c r="L4" s="34"/>
      <c r="M4" s="34"/>
      <c r="N4" s="1" t="s">
        <v>105</v>
      </c>
      <c r="O4" s="1" t="s">
        <v>106</v>
      </c>
      <c r="P4" s="34"/>
      <c r="Q4" s="34"/>
      <c r="R4" s="34"/>
    </row>
    <row r="5" spans="1:18" x14ac:dyDescent="0.25">
      <c r="A5" s="50"/>
      <c r="B5" s="50"/>
      <c r="C5" s="50"/>
      <c r="D5" s="50" t="s">
        <v>212</v>
      </c>
      <c r="E5" s="37"/>
      <c r="F5" s="37"/>
      <c r="G5" s="37"/>
      <c r="H5" s="37"/>
      <c r="I5" s="37"/>
      <c r="J5" s="37"/>
      <c r="K5" s="38"/>
      <c r="L5" s="58" t="str">
        <f>"Module word address : "&amp;Module_Address_Usage!$C$20&amp;" ~ "&amp;Module_Address_Usage!$D$20&amp;" (local 0x00 ~ 0x"&amp;DEC2HEX(HEX2DEC(MID(Module_Address_Usage!$D$20,3,5))-HEX2DEC(MID(Module_Address_Usage!$C$20,3,5)),2)&amp;")"&amp;CHAR(10)&amp;"PS byte address : "&amp;Module_Address_Usage!$I$20&amp;" ~ "&amp;Module_Address_Usage!$J$20</f>
        <v>Module word address : 0x00000 ~ 0x000FF (local 0x00 ~ 0xFF)
PS byte address : 0x6000_0000 ~ 0x6000_03FF</v>
      </c>
      <c r="M5" s="50"/>
      <c r="N5" s="50"/>
      <c r="O5" s="50"/>
      <c r="P5" s="50"/>
      <c r="Q5" s="50"/>
      <c r="R5" s="50"/>
    </row>
    <row r="6" spans="1:18" x14ac:dyDescent="0.25">
      <c r="A6" s="30"/>
      <c r="B6" s="30"/>
      <c r="C6" s="30"/>
      <c r="D6" s="43"/>
      <c r="E6" s="44"/>
      <c r="F6" s="44"/>
      <c r="G6" s="44"/>
      <c r="H6" s="44"/>
      <c r="I6" s="44"/>
      <c r="J6" s="44"/>
      <c r="K6" s="45"/>
      <c r="L6" s="30"/>
      <c r="M6" s="30"/>
      <c r="N6" s="30"/>
      <c r="O6" s="30"/>
      <c r="P6" s="30"/>
      <c r="Q6" s="30"/>
      <c r="R6" s="30"/>
    </row>
    <row r="7" spans="1:18" x14ac:dyDescent="0.25">
      <c r="A7" s="30"/>
      <c r="B7" s="30"/>
      <c r="C7" s="30"/>
      <c r="D7" s="43"/>
      <c r="E7" s="44"/>
      <c r="F7" s="44"/>
      <c r="G7" s="44"/>
      <c r="H7" s="44"/>
      <c r="I7" s="44"/>
      <c r="J7" s="44"/>
      <c r="K7" s="45"/>
      <c r="L7" s="30"/>
      <c r="M7" s="30"/>
      <c r="N7" s="30"/>
      <c r="O7" s="30"/>
      <c r="P7" s="30"/>
      <c r="Q7" s="30"/>
      <c r="R7" s="30"/>
    </row>
    <row r="8" spans="1:18" x14ac:dyDescent="0.25">
      <c r="A8" s="34"/>
      <c r="B8" s="34"/>
      <c r="C8" s="34"/>
      <c r="D8" s="39"/>
      <c r="E8" s="40"/>
      <c r="F8" s="40"/>
      <c r="G8" s="40"/>
      <c r="H8" s="40"/>
      <c r="I8" s="40"/>
      <c r="J8" s="40"/>
      <c r="K8" s="41"/>
      <c r="L8" s="34"/>
      <c r="M8" s="34"/>
      <c r="N8" s="34"/>
      <c r="O8" s="34"/>
      <c r="P8" s="34"/>
      <c r="Q8" s="34"/>
      <c r="R8" s="34"/>
    </row>
    <row r="9" spans="1:18" ht="20.100000000000001" customHeight="1" x14ac:dyDescent="0.25">
      <c r="A9" s="51" t="s">
        <v>40</v>
      </c>
      <c r="B9" s="13" t="s">
        <v>118</v>
      </c>
      <c r="C9" s="51" t="s">
        <v>213</v>
      </c>
      <c r="D9" s="52" t="s">
        <v>214</v>
      </c>
      <c r="E9" s="53"/>
      <c r="F9" s="53"/>
      <c r="G9" s="53"/>
      <c r="H9" s="53"/>
      <c r="I9" s="53"/>
      <c r="J9" s="53"/>
      <c r="K9" s="54"/>
      <c r="L9" s="49" t="s">
        <v>215</v>
      </c>
      <c r="M9" s="49" t="s">
        <v>216</v>
      </c>
      <c r="N9" s="51" t="str">
        <f>CONCATENATE("0x",DEC2HEX(HEX2DEC(MID(Module_Address_Usage!$C$20,3,5))+HEX2DEC(MID($A9,3,5)),5))</f>
        <v>0x00000</v>
      </c>
      <c r="O9" s="13" t="str">
        <f>CONCATENATE("0x",DEC2HEX(HEX2DEC(MID($N$9,3,5))*4+3,6))</f>
        <v>0x000003</v>
      </c>
      <c r="P9" s="13" t="s">
        <v>111</v>
      </c>
      <c r="Q9" s="13" t="s">
        <v>42</v>
      </c>
      <c r="R9" s="51" t="str">
        <f>CONCATENATE("0x",LEFT(DEC2HEX(HEX2DEC(MID(Module_Address_Usage!$C$18,3,8))+HEX2DEC(MID($N$9,3,5))*4+0,8),4),"_",RIGHT(DEC2HEX(HEX2DEC(MID(Module_Address_Usage!$C$18,3,8))+HEX2DEC(MID($N$9,3,5))*4+0,8),4))</f>
        <v>0x6000_0000</v>
      </c>
    </row>
    <row r="10" spans="1:18" ht="20.100000000000001" customHeight="1" x14ac:dyDescent="0.25">
      <c r="A10" s="30"/>
      <c r="B10" s="15" t="s">
        <v>118</v>
      </c>
      <c r="C10" s="30"/>
      <c r="D10" s="56" t="s">
        <v>217</v>
      </c>
      <c r="E10" s="24"/>
      <c r="F10" s="24"/>
      <c r="G10" s="24"/>
      <c r="H10" s="24"/>
      <c r="I10" s="24"/>
      <c r="J10" s="24"/>
      <c r="K10" s="25"/>
      <c r="L10" s="30"/>
      <c r="M10" s="30"/>
      <c r="N10" s="30"/>
      <c r="O10" s="15" t="str">
        <f>CONCATENATE("0x",DEC2HEX(HEX2DEC(MID($N$9,3,5))*4+2,6))</f>
        <v>0x000002</v>
      </c>
      <c r="P10" s="15" t="s">
        <v>111</v>
      </c>
      <c r="Q10" s="15" t="s">
        <v>42</v>
      </c>
      <c r="R10" s="30"/>
    </row>
    <row r="11" spans="1:18" ht="20.100000000000001" customHeight="1" x14ac:dyDescent="0.25">
      <c r="A11" s="30"/>
      <c r="B11" s="15" t="s">
        <v>118</v>
      </c>
      <c r="C11" s="30"/>
      <c r="D11" s="56" t="s">
        <v>218</v>
      </c>
      <c r="E11" s="24"/>
      <c r="F11" s="24"/>
      <c r="G11" s="24"/>
      <c r="H11" s="24"/>
      <c r="I11" s="24"/>
      <c r="J11" s="24"/>
      <c r="K11" s="25"/>
      <c r="L11" s="30"/>
      <c r="M11" s="30"/>
      <c r="N11" s="30"/>
      <c r="O11" s="15" t="str">
        <f>CONCATENATE("0x",DEC2HEX(HEX2DEC(MID($N$9,3,5))*4+1,6))</f>
        <v>0x000001</v>
      </c>
      <c r="P11" s="15" t="s">
        <v>111</v>
      </c>
      <c r="Q11" s="15" t="s">
        <v>42</v>
      </c>
      <c r="R11" s="30"/>
    </row>
    <row r="12" spans="1:18" ht="20.100000000000001" customHeight="1" x14ac:dyDescent="0.25">
      <c r="A12" s="31"/>
      <c r="B12" s="16" t="s">
        <v>118</v>
      </c>
      <c r="C12" s="31"/>
      <c r="D12" s="57" t="s">
        <v>219</v>
      </c>
      <c r="E12" s="47"/>
      <c r="F12" s="47"/>
      <c r="G12" s="47"/>
      <c r="H12" s="47"/>
      <c r="I12" s="47"/>
      <c r="J12" s="47"/>
      <c r="K12" s="48"/>
      <c r="L12" s="31"/>
      <c r="M12" s="31"/>
      <c r="N12" s="31"/>
      <c r="O12" s="16" t="str">
        <f>CONCATENATE("0x",DEC2HEX(HEX2DEC(MID($N$9,3,5))*4+0,6))</f>
        <v>0x000000</v>
      </c>
      <c r="P12" s="16" t="s">
        <v>111</v>
      </c>
      <c r="Q12" s="16" t="s">
        <v>42</v>
      </c>
      <c r="R12" s="31"/>
    </row>
    <row r="13" spans="1:18" ht="20.100000000000001" customHeight="1" x14ac:dyDescent="0.25">
      <c r="A13" s="51" t="s">
        <v>114</v>
      </c>
      <c r="B13" s="13" t="s">
        <v>49</v>
      </c>
      <c r="C13" s="51" t="s">
        <v>220</v>
      </c>
      <c r="D13" s="22"/>
      <c r="E13" s="22"/>
      <c r="F13" s="22"/>
      <c r="G13" s="22"/>
      <c r="H13" s="22"/>
      <c r="I13" s="22"/>
      <c r="J13" s="22"/>
      <c r="K13" s="22"/>
      <c r="L13" s="49" t="s">
        <v>221</v>
      </c>
      <c r="M13" s="49" t="s">
        <v>222</v>
      </c>
      <c r="N13" s="51" t="str">
        <f>CONCATENATE("0x",DEC2HEX(HEX2DEC(MID(Module_Address_Usage!$C$20,3,5))+HEX2DEC(MID($A13,3,5)),5))</f>
        <v>0x00001</v>
      </c>
      <c r="O13" s="13" t="str">
        <f>CONCATENATE("0x",DEC2HEX(HEX2DEC(MID($N$13,3,5))*4+3,6))</f>
        <v>0x000007</v>
      </c>
      <c r="P13" s="13" t="s">
        <v>111</v>
      </c>
      <c r="Q13" s="13" t="s">
        <v>49</v>
      </c>
      <c r="R13" s="51" t="str">
        <f>CONCATENATE("0x",LEFT(DEC2HEX(HEX2DEC(MID(Module_Address_Usage!$C$18,3,8))+HEX2DEC(MID($N$13,3,5))*4+0,8),4),"_",RIGHT(DEC2HEX(HEX2DEC(MID(Module_Address_Usage!$C$18,3,8))+HEX2DEC(MID($N$13,3,5))*4+0,8),4))</f>
        <v>0x6000_0004</v>
      </c>
    </row>
    <row r="14" spans="1:18" ht="20.100000000000001" customHeight="1" x14ac:dyDescent="0.25">
      <c r="A14" s="30"/>
      <c r="B14" s="15" t="s">
        <v>49</v>
      </c>
      <c r="C14" s="30"/>
      <c r="D14" s="17"/>
      <c r="E14" s="17"/>
      <c r="F14" s="17"/>
      <c r="G14" s="17"/>
      <c r="H14" s="17"/>
      <c r="I14" s="17"/>
      <c r="J14" s="17"/>
      <c r="K14" s="17"/>
      <c r="L14" s="30"/>
      <c r="M14" s="30"/>
      <c r="N14" s="30"/>
      <c r="O14" s="15" t="str">
        <f>CONCATENATE("0x",DEC2HEX(HEX2DEC(MID($N$13,3,5))*4+2,6))</f>
        <v>0x000006</v>
      </c>
      <c r="P14" s="15" t="s">
        <v>111</v>
      </c>
      <c r="Q14" s="15" t="s">
        <v>49</v>
      </c>
      <c r="R14" s="30"/>
    </row>
    <row r="15" spans="1:18" ht="20.100000000000001" customHeight="1" x14ac:dyDescent="0.25">
      <c r="A15" s="30"/>
      <c r="B15" s="15" t="s">
        <v>49</v>
      </c>
      <c r="C15" s="30"/>
      <c r="D15" s="17"/>
      <c r="E15" s="17"/>
      <c r="F15" s="17"/>
      <c r="G15" s="17"/>
      <c r="H15" s="17"/>
      <c r="I15" s="17"/>
      <c r="J15" s="17"/>
      <c r="K15" s="17"/>
      <c r="L15" s="30"/>
      <c r="M15" s="30"/>
      <c r="N15" s="30"/>
      <c r="O15" s="15" t="str">
        <f>CONCATENATE("0x",DEC2HEX(HEX2DEC(MID($N$13,3,5))*4+1,6))</f>
        <v>0x000005</v>
      </c>
      <c r="P15" s="15" t="s">
        <v>111</v>
      </c>
      <c r="Q15" s="15" t="s">
        <v>49</v>
      </c>
      <c r="R15" s="30"/>
    </row>
    <row r="16" spans="1:18" ht="20.100000000000001" customHeight="1" x14ac:dyDescent="0.25">
      <c r="A16" s="31"/>
      <c r="B16" s="16" t="s">
        <v>112</v>
      </c>
      <c r="C16" s="31"/>
      <c r="D16" s="18"/>
      <c r="E16" s="18"/>
      <c r="F16" s="16" t="s">
        <v>223</v>
      </c>
      <c r="G16" s="16" t="s">
        <v>224</v>
      </c>
      <c r="H16" s="16" t="s">
        <v>225</v>
      </c>
      <c r="I16" s="16" t="s">
        <v>226</v>
      </c>
      <c r="J16" s="16" t="s">
        <v>227</v>
      </c>
      <c r="K16" s="16" t="s">
        <v>228</v>
      </c>
      <c r="L16" s="31"/>
      <c r="M16" s="31"/>
      <c r="N16" s="31"/>
      <c r="O16" s="16" t="str">
        <f>CONCATENATE("0x",DEC2HEX(HEX2DEC(MID($N$13,3,5))*4+0,6))</f>
        <v>0x000004</v>
      </c>
      <c r="P16" s="16" t="s">
        <v>138</v>
      </c>
      <c r="Q16" s="16" t="s">
        <v>42</v>
      </c>
      <c r="R16" s="31"/>
    </row>
    <row r="17" spans="1:18" ht="20.100000000000001" customHeight="1" x14ac:dyDescent="0.25">
      <c r="A17" s="51" t="s">
        <v>116</v>
      </c>
      <c r="B17" s="13" t="s">
        <v>49</v>
      </c>
      <c r="C17" s="51" t="s">
        <v>229</v>
      </c>
      <c r="D17" s="22"/>
      <c r="E17" s="22"/>
      <c r="F17" s="22"/>
      <c r="G17" s="22"/>
      <c r="H17" s="22"/>
      <c r="I17" s="22"/>
      <c r="J17" s="22"/>
      <c r="K17" s="22"/>
      <c r="L17" s="49" t="s">
        <v>230</v>
      </c>
      <c r="M17" s="49" t="s">
        <v>231</v>
      </c>
      <c r="N17" s="51" t="str">
        <f>CONCATENATE("0x",DEC2HEX(HEX2DEC(MID(Module_Address_Usage!$C$20,3,5))+HEX2DEC(MID($A17,3,5)),5))</f>
        <v>0x00002</v>
      </c>
      <c r="O17" s="13" t="str">
        <f>CONCATENATE("0x",DEC2HEX(HEX2DEC(MID($N$17,3,5))*4+3,6))</f>
        <v>0x00000B</v>
      </c>
      <c r="P17" s="13" t="s">
        <v>111</v>
      </c>
      <c r="Q17" s="13" t="s">
        <v>49</v>
      </c>
      <c r="R17" s="51" t="str">
        <f>CONCATENATE("0x",LEFT(DEC2HEX(HEX2DEC(MID(Module_Address_Usage!$C$18,3,8))+HEX2DEC(MID($N$17,3,5))*4+0,8),4),"_",RIGHT(DEC2HEX(HEX2DEC(MID(Module_Address_Usage!$C$18,3,8))+HEX2DEC(MID($N$17,3,5))*4+0,8),4))</f>
        <v>0x6000_0008</v>
      </c>
    </row>
    <row r="18" spans="1:18" ht="20.100000000000001" customHeight="1" x14ac:dyDescent="0.25">
      <c r="A18" s="30"/>
      <c r="B18" s="15" t="s">
        <v>49</v>
      </c>
      <c r="C18" s="30"/>
      <c r="D18" s="17"/>
      <c r="E18" s="17"/>
      <c r="F18" s="17"/>
      <c r="G18" s="17"/>
      <c r="H18" s="17"/>
      <c r="I18" s="17"/>
      <c r="J18" s="17"/>
      <c r="K18" s="17"/>
      <c r="L18" s="30"/>
      <c r="M18" s="30"/>
      <c r="N18" s="30"/>
      <c r="O18" s="15" t="str">
        <f>CONCATENATE("0x",DEC2HEX(HEX2DEC(MID($N$17,3,5))*4+2,6))</f>
        <v>0x00000A</v>
      </c>
      <c r="P18" s="15" t="s">
        <v>111</v>
      </c>
      <c r="Q18" s="15" t="s">
        <v>49</v>
      </c>
      <c r="R18" s="30"/>
    </row>
    <row r="19" spans="1:18" ht="20.100000000000001" customHeight="1" x14ac:dyDescent="0.25">
      <c r="A19" s="30"/>
      <c r="B19" s="15" t="s">
        <v>49</v>
      </c>
      <c r="C19" s="30"/>
      <c r="D19" s="17"/>
      <c r="E19" s="17"/>
      <c r="F19" s="17"/>
      <c r="G19" s="17"/>
      <c r="H19" s="17"/>
      <c r="I19" s="17"/>
      <c r="J19" s="17"/>
      <c r="K19" s="17"/>
      <c r="L19" s="30"/>
      <c r="M19" s="30"/>
      <c r="N19" s="30"/>
      <c r="O19" s="15" t="str">
        <f>CONCATENATE("0x",DEC2HEX(HEX2DEC(MID($N$17,3,5))*4+1,6))</f>
        <v>0x000009</v>
      </c>
      <c r="P19" s="15" t="s">
        <v>111</v>
      </c>
      <c r="Q19" s="15" t="s">
        <v>49</v>
      </c>
      <c r="R19" s="30"/>
    </row>
    <row r="20" spans="1:18" ht="20.100000000000001" customHeight="1" x14ac:dyDescent="0.25">
      <c r="A20" s="31"/>
      <c r="B20" s="16" t="s">
        <v>118</v>
      </c>
      <c r="C20" s="31"/>
      <c r="D20" s="18"/>
      <c r="E20" s="18"/>
      <c r="F20" s="18"/>
      <c r="G20" s="18"/>
      <c r="H20" s="18"/>
      <c r="I20" s="18"/>
      <c r="J20" s="16" t="s">
        <v>232</v>
      </c>
      <c r="K20" s="16" t="s">
        <v>233</v>
      </c>
      <c r="L20" s="31"/>
      <c r="M20" s="31"/>
      <c r="N20" s="31"/>
      <c r="O20" s="16" t="str">
        <f>CONCATENATE("0x",DEC2HEX(HEX2DEC(MID($N$17,3,5))*4+0,6))</f>
        <v>0x000008</v>
      </c>
      <c r="P20" s="16" t="s">
        <v>111</v>
      </c>
      <c r="Q20" s="16" t="s">
        <v>42</v>
      </c>
      <c r="R20" s="31"/>
    </row>
    <row r="21" spans="1:18" ht="20.100000000000001" customHeight="1" x14ac:dyDescent="0.25">
      <c r="A21" s="51" t="s">
        <v>117</v>
      </c>
      <c r="B21" s="13" t="s">
        <v>49</v>
      </c>
      <c r="C21" s="51" t="s">
        <v>234</v>
      </c>
      <c r="D21" s="22"/>
      <c r="E21" s="22"/>
      <c r="F21" s="22"/>
      <c r="G21" s="22"/>
      <c r="H21" s="22"/>
      <c r="I21" s="22"/>
      <c r="J21" s="22"/>
      <c r="K21" s="22"/>
      <c r="L21" s="49" t="s">
        <v>235</v>
      </c>
      <c r="M21" s="49" t="s">
        <v>236</v>
      </c>
      <c r="N21" s="51" t="str">
        <f>CONCATENATE("0x",DEC2HEX(HEX2DEC(MID(Module_Address_Usage!$C$20,3,5))+HEX2DEC(MID($A21,3,5)),5))</f>
        <v>0x00003</v>
      </c>
      <c r="O21" s="13" t="str">
        <f>CONCATENATE("0x",DEC2HEX(HEX2DEC(MID($N$21,3,5))*4+3,6))</f>
        <v>0x00000F</v>
      </c>
      <c r="P21" s="13" t="s">
        <v>111</v>
      </c>
      <c r="Q21" s="13" t="s">
        <v>49</v>
      </c>
      <c r="R21" s="51" t="str">
        <f>CONCATENATE("0x",LEFT(DEC2HEX(HEX2DEC(MID(Module_Address_Usage!$C$18,3,8))+HEX2DEC(MID($N$21,3,5))*4+0,8),4),"_",RIGHT(DEC2HEX(HEX2DEC(MID(Module_Address_Usage!$C$18,3,8))+HEX2DEC(MID($N$21,3,5))*4+0,8),4))</f>
        <v>0x6000_000C</v>
      </c>
    </row>
    <row r="22" spans="1:18" ht="20.100000000000001" customHeight="1" x14ac:dyDescent="0.25">
      <c r="A22" s="30"/>
      <c r="B22" s="15" t="s">
        <v>118</v>
      </c>
      <c r="C22" s="30"/>
      <c r="D22" s="17"/>
      <c r="E22" s="15" t="s">
        <v>237</v>
      </c>
      <c r="F22" s="15" t="s">
        <v>238</v>
      </c>
      <c r="G22" s="15" t="s">
        <v>239</v>
      </c>
      <c r="H22" s="15" t="s">
        <v>240</v>
      </c>
      <c r="I22" s="15" t="s">
        <v>241</v>
      </c>
      <c r="J22" s="15" t="s">
        <v>242</v>
      </c>
      <c r="K22" s="15" t="s">
        <v>243</v>
      </c>
      <c r="L22" s="30"/>
      <c r="M22" s="30"/>
      <c r="N22" s="30"/>
      <c r="O22" s="15" t="str">
        <f>CONCATENATE("0x",DEC2HEX(HEX2DEC(MID($N$21,3,5))*4+2,6))</f>
        <v>0x00000E</v>
      </c>
      <c r="P22" s="15" t="s">
        <v>111</v>
      </c>
      <c r="Q22" s="15" t="s">
        <v>42</v>
      </c>
      <c r="R22" s="30"/>
    </row>
    <row r="23" spans="1:18" ht="20.100000000000001" customHeight="1" x14ac:dyDescent="0.25">
      <c r="A23" s="30"/>
      <c r="B23" s="15" t="s">
        <v>49</v>
      </c>
      <c r="C23" s="30"/>
      <c r="D23" s="17"/>
      <c r="E23" s="17"/>
      <c r="F23" s="17"/>
      <c r="G23" s="17"/>
      <c r="H23" s="17"/>
      <c r="I23" s="17"/>
      <c r="J23" s="17"/>
      <c r="K23" s="17"/>
      <c r="L23" s="30"/>
      <c r="M23" s="30"/>
      <c r="N23" s="30"/>
      <c r="O23" s="15" t="str">
        <f>CONCATENATE("0x",DEC2HEX(HEX2DEC(MID($N$21,3,5))*4+1,6))</f>
        <v>0x00000D</v>
      </c>
      <c r="P23" s="15" t="s">
        <v>111</v>
      </c>
      <c r="Q23" s="15" t="s">
        <v>49</v>
      </c>
      <c r="R23" s="30"/>
    </row>
    <row r="24" spans="1:18" ht="20.100000000000001" customHeight="1" x14ac:dyDescent="0.25">
      <c r="A24" s="31"/>
      <c r="B24" s="16" t="s">
        <v>118</v>
      </c>
      <c r="C24" s="31"/>
      <c r="D24" s="18"/>
      <c r="E24" s="18"/>
      <c r="F24" s="18"/>
      <c r="G24" s="18"/>
      <c r="H24" s="16" t="s">
        <v>244</v>
      </c>
      <c r="I24" s="16" t="s">
        <v>245</v>
      </c>
      <c r="J24" s="16" t="s">
        <v>246</v>
      </c>
      <c r="K24" s="16" t="s">
        <v>247</v>
      </c>
      <c r="L24" s="31"/>
      <c r="M24" s="31"/>
      <c r="N24" s="31"/>
      <c r="O24" s="16" t="str">
        <f>CONCATENATE("0x",DEC2HEX(HEX2DEC(MID($N$21,3,5))*4+0,6))</f>
        <v>0x00000C</v>
      </c>
      <c r="P24" s="16" t="s">
        <v>111</v>
      </c>
      <c r="Q24" s="16" t="s">
        <v>42</v>
      </c>
      <c r="R24" s="31"/>
    </row>
    <row r="25" spans="1:18" ht="27" customHeight="1" x14ac:dyDescent="0.25">
      <c r="A25" s="12" t="s">
        <v>248</v>
      </c>
      <c r="B25" s="12" t="s">
        <v>49</v>
      </c>
      <c r="C25" s="12" t="s">
        <v>47</v>
      </c>
      <c r="D25" s="55"/>
      <c r="E25" s="27"/>
      <c r="F25" s="27"/>
      <c r="G25" s="27"/>
      <c r="H25" s="27"/>
      <c r="I25" s="27"/>
      <c r="J25" s="27"/>
      <c r="K25" s="28"/>
      <c r="L25" s="14" t="s">
        <v>47</v>
      </c>
      <c r="M25" s="14" t="s">
        <v>120</v>
      </c>
      <c r="N25" s="12" t="str">
        <f>CONCATENATE("0x",DEC2HEX(HEX2DEC(MID(Module_Address_Usage!$C$20,3,5))+HEX2DEC(MID($A25,3,5)),5))&amp;CHAR(10)&amp;"~ "&amp;CONCATENATE("0x",DEC2HEX(HEX2DEC(MID(Module_Address_Usage!$C$20,3,5))+HEX2DEC(MID($A25,13,5)),5))</f>
        <v>0x00004
~ 0x00007</v>
      </c>
      <c r="O25" s="12" t="str">
        <f>CONCATENATE("0x",DEC2HEX(HEX2DEC(MID(CONCATENATE("0x",DEC2HEX(HEX2DEC(MID(Module_Address_Usage!$C$20,3,5))+HEX2DEC(MID($A25,3,5)),5)),3,5))*4+0,6))&amp;CHAR(10)&amp;"~ "&amp;CONCATENATE("0x",DEC2HEX(HEX2DEC(MID(CONCATENATE("0x",DEC2HEX(HEX2DEC(MID(Module_Address_Usage!$C$20,3,5))+HEX2DEC(MID($A25,13,5)),5)),3,5))*4+3,6))</f>
        <v>0x000010
~ 0x00001F</v>
      </c>
      <c r="P25" s="12" t="s">
        <v>111</v>
      </c>
      <c r="Q25" s="12" t="s">
        <v>49</v>
      </c>
      <c r="R25" s="12" t="str">
        <f>CONCATENATE("0x",LEFT(DEC2HEX(HEX2DEC(MID(Module_Address_Usage!$C$18,3,8))+HEX2DEC(MID(CONCATENATE("0x",DEC2HEX(HEX2DEC(MID(Module_Address_Usage!$C$20,3,5))+HEX2DEC(MID($A25,3,5)),5)),3,5))*4+0,8),4),"_",RIGHT(DEC2HEX(HEX2DEC(MID(Module_Address_Usage!$C$18,3,8))+HEX2DEC(MID(CONCATENATE("0x",DEC2HEX(HEX2DEC(MID(Module_Address_Usage!$C$20,3,5))+HEX2DEC(MID($A25,3,5)),5)),3,5))*4+0,8),4))&amp;CHAR(10)&amp;"~ "&amp;CONCATENATE("0x",LEFT(DEC2HEX(HEX2DEC(MID(Module_Address_Usage!$C$18,3,8))+HEX2DEC(MID(CONCATENATE("0x",DEC2HEX(HEX2DEC(MID(Module_Address_Usage!$C$20,3,5))+HEX2DEC(MID($A25,13,5)),5)),3,5))*4+3,8),4),"_",RIGHT(DEC2HEX(HEX2DEC(MID(Module_Address_Usage!$C$18,3,8))+HEX2DEC(MID(CONCATENATE("0x",DEC2HEX(HEX2DEC(MID(Module_Address_Usage!$C$20,3,5))+HEX2DEC(MID($A25,13,5)),5)),3,5))*4+3,8),4))</f>
        <v>0x6000_0010
~ 0x6000_001F</v>
      </c>
    </row>
    <row r="26" spans="1:18" ht="20.100000000000001" customHeight="1" x14ac:dyDescent="0.25">
      <c r="A26" s="51" t="s">
        <v>249</v>
      </c>
      <c r="B26" s="13" t="s">
        <v>49</v>
      </c>
      <c r="C26" s="51" t="s">
        <v>250</v>
      </c>
      <c r="D26" s="22"/>
      <c r="E26" s="22"/>
      <c r="F26" s="22"/>
      <c r="G26" s="22"/>
      <c r="H26" s="22"/>
      <c r="I26" s="22"/>
      <c r="J26" s="22"/>
      <c r="K26" s="22"/>
      <c r="L26" s="49" t="s">
        <v>251</v>
      </c>
      <c r="M26" s="49" t="s">
        <v>252</v>
      </c>
      <c r="N26" s="51" t="str">
        <f>CONCATENATE("0x",DEC2HEX(HEX2DEC(MID(Module_Address_Usage!$C$20,3,5))+HEX2DEC(MID($A26,3,5)),5))</f>
        <v>0x00008</v>
      </c>
      <c r="O26" s="13" t="str">
        <f>CONCATENATE("0x",DEC2HEX(HEX2DEC(MID($N$26,3,5))*4+3,6))</f>
        <v>0x000023</v>
      </c>
      <c r="P26" s="13" t="s">
        <v>111</v>
      </c>
      <c r="Q26" s="13" t="s">
        <v>49</v>
      </c>
      <c r="R26" s="51" t="str">
        <f>CONCATENATE("0x",LEFT(DEC2HEX(HEX2DEC(MID(Module_Address_Usage!$C$18,3,8))+HEX2DEC(MID($N$26,3,5))*4+0,8),4),"_",RIGHT(DEC2HEX(HEX2DEC(MID(Module_Address_Usage!$C$18,3,8))+HEX2DEC(MID($N$26,3,5))*4+0,8),4))</f>
        <v>0x6000_0020</v>
      </c>
    </row>
    <row r="27" spans="1:18" ht="20.100000000000001" customHeight="1" x14ac:dyDescent="0.25">
      <c r="A27" s="30"/>
      <c r="B27" s="15" t="s">
        <v>49</v>
      </c>
      <c r="C27" s="30"/>
      <c r="D27" s="17"/>
      <c r="E27" s="17"/>
      <c r="F27" s="17"/>
      <c r="G27" s="17"/>
      <c r="H27" s="17"/>
      <c r="I27" s="17"/>
      <c r="J27" s="17"/>
      <c r="K27" s="17"/>
      <c r="L27" s="30"/>
      <c r="M27" s="30"/>
      <c r="N27" s="30"/>
      <c r="O27" s="15" t="str">
        <f>CONCATENATE("0x",DEC2HEX(HEX2DEC(MID($N$26,3,5))*4+2,6))</f>
        <v>0x000022</v>
      </c>
      <c r="P27" s="15" t="s">
        <v>111</v>
      </c>
      <c r="Q27" s="15" t="s">
        <v>49</v>
      </c>
      <c r="R27" s="30"/>
    </row>
    <row r="28" spans="1:18" ht="20.100000000000001" customHeight="1" x14ac:dyDescent="0.25">
      <c r="A28" s="30"/>
      <c r="B28" s="15" t="s">
        <v>112</v>
      </c>
      <c r="C28" s="30"/>
      <c r="D28" s="17"/>
      <c r="E28" s="17"/>
      <c r="F28" s="17"/>
      <c r="G28" s="17"/>
      <c r="H28" s="56" t="s">
        <v>253</v>
      </c>
      <c r="I28" s="24"/>
      <c r="J28" s="24"/>
      <c r="K28" s="25"/>
      <c r="L28" s="30"/>
      <c r="M28" s="30"/>
      <c r="N28" s="30"/>
      <c r="O28" s="15" t="str">
        <f>CONCATENATE("0x",DEC2HEX(HEX2DEC(MID($N$26,3,5))*4+1,6))</f>
        <v>0x000021</v>
      </c>
      <c r="P28" s="15" t="s">
        <v>138</v>
      </c>
      <c r="Q28" s="15" t="s">
        <v>42</v>
      </c>
      <c r="R28" s="30"/>
    </row>
    <row r="29" spans="1:18" ht="20.100000000000001" customHeight="1" x14ac:dyDescent="0.25">
      <c r="A29" s="31"/>
      <c r="B29" s="16" t="s">
        <v>112</v>
      </c>
      <c r="C29" s="31"/>
      <c r="D29" s="18"/>
      <c r="E29" s="18"/>
      <c r="F29" s="18"/>
      <c r="G29" s="18"/>
      <c r="H29" s="18"/>
      <c r="I29" s="18"/>
      <c r="J29" s="18"/>
      <c r="K29" s="16" t="s">
        <v>254</v>
      </c>
      <c r="L29" s="31"/>
      <c r="M29" s="31"/>
      <c r="N29" s="31"/>
      <c r="O29" s="16" t="str">
        <f>CONCATENATE("0x",DEC2HEX(HEX2DEC(MID($N$26,3,5))*4+0,6))</f>
        <v>0x000020</v>
      </c>
      <c r="P29" s="16" t="s">
        <v>138</v>
      </c>
      <c r="Q29" s="16" t="s">
        <v>42</v>
      </c>
      <c r="R29" s="31"/>
    </row>
    <row r="30" spans="1:18" ht="20.100000000000001" customHeight="1" x14ac:dyDescent="0.25">
      <c r="A30" s="51" t="s">
        <v>255</v>
      </c>
      <c r="B30" s="13" t="s">
        <v>49</v>
      </c>
      <c r="C30" s="51" t="s">
        <v>256</v>
      </c>
      <c r="D30" s="22"/>
      <c r="E30" s="22"/>
      <c r="F30" s="22"/>
      <c r="G30" s="22"/>
      <c r="H30" s="22"/>
      <c r="I30" s="22"/>
      <c r="J30" s="22"/>
      <c r="K30" s="22"/>
      <c r="L30" s="49" t="s">
        <v>257</v>
      </c>
      <c r="M30" s="49" t="s">
        <v>258</v>
      </c>
      <c r="N30" s="51" t="str">
        <f>CONCATENATE("0x",DEC2HEX(HEX2DEC(MID(Module_Address_Usage!$C$20,3,5))+HEX2DEC(MID($A30,3,5)),5))</f>
        <v>0x00009</v>
      </c>
      <c r="O30" s="13" t="str">
        <f>CONCATENATE("0x",DEC2HEX(HEX2DEC(MID($N$30,3,5))*4+3,6))</f>
        <v>0x000027</v>
      </c>
      <c r="P30" s="13" t="s">
        <v>111</v>
      </c>
      <c r="Q30" s="13" t="s">
        <v>49</v>
      </c>
      <c r="R30" s="51" t="str">
        <f>CONCATENATE("0x",LEFT(DEC2HEX(HEX2DEC(MID(Module_Address_Usage!$C$18,3,8))+HEX2DEC(MID($N$30,3,5))*4+0,8),4),"_",RIGHT(DEC2HEX(HEX2DEC(MID(Module_Address_Usage!$C$18,3,8))+HEX2DEC(MID($N$30,3,5))*4+0,8),4))</f>
        <v>0x6000_0024</v>
      </c>
    </row>
    <row r="31" spans="1:18" ht="20.100000000000001" customHeight="1" x14ac:dyDescent="0.25">
      <c r="A31" s="30"/>
      <c r="B31" s="15" t="s">
        <v>49</v>
      </c>
      <c r="C31" s="30"/>
      <c r="D31" s="17"/>
      <c r="E31" s="17"/>
      <c r="F31" s="17"/>
      <c r="G31" s="17"/>
      <c r="H31" s="17"/>
      <c r="I31" s="17"/>
      <c r="J31" s="17"/>
      <c r="K31" s="17"/>
      <c r="L31" s="30"/>
      <c r="M31" s="30"/>
      <c r="N31" s="30"/>
      <c r="O31" s="15" t="str">
        <f>CONCATENATE("0x",DEC2HEX(HEX2DEC(MID($N$30,3,5))*4+2,6))</f>
        <v>0x000026</v>
      </c>
      <c r="P31" s="15" t="s">
        <v>111</v>
      </c>
      <c r="Q31" s="15" t="s">
        <v>49</v>
      </c>
      <c r="R31" s="30"/>
    </row>
    <row r="32" spans="1:18" ht="20.100000000000001" customHeight="1" x14ac:dyDescent="0.25">
      <c r="A32" s="30"/>
      <c r="B32" s="15" t="s">
        <v>49</v>
      </c>
      <c r="C32" s="30"/>
      <c r="D32" s="17"/>
      <c r="E32" s="17"/>
      <c r="F32" s="17"/>
      <c r="G32" s="17"/>
      <c r="H32" s="17"/>
      <c r="I32" s="17"/>
      <c r="J32" s="17"/>
      <c r="K32" s="17"/>
      <c r="L32" s="30"/>
      <c r="M32" s="30"/>
      <c r="N32" s="30"/>
      <c r="O32" s="15" t="str">
        <f>CONCATENATE("0x",DEC2HEX(HEX2DEC(MID($N$30,3,5))*4+1,6))</f>
        <v>0x000025</v>
      </c>
      <c r="P32" s="15" t="s">
        <v>111</v>
      </c>
      <c r="Q32" s="15" t="s">
        <v>49</v>
      </c>
      <c r="R32" s="30"/>
    </row>
    <row r="33" spans="1:18" ht="20.100000000000001" customHeight="1" x14ac:dyDescent="0.25">
      <c r="A33" s="31"/>
      <c r="B33" s="16" t="s">
        <v>118</v>
      </c>
      <c r="C33" s="31"/>
      <c r="D33" s="18"/>
      <c r="E33" s="18"/>
      <c r="F33" s="18"/>
      <c r="G33" s="18"/>
      <c r="H33" s="18"/>
      <c r="I33" s="16" t="s">
        <v>259</v>
      </c>
      <c r="J33" s="16" t="s">
        <v>260</v>
      </c>
      <c r="K33" s="16" t="s">
        <v>261</v>
      </c>
      <c r="L33" s="31"/>
      <c r="M33" s="31"/>
      <c r="N33" s="31"/>
      <c r="O33" s="16" t="str">
        <f>CONCATENATE("0x",DEC2HEX(HEX2DEC(MID($N$30,3,5))*4+0,6))</f>
        <v>0x000024</v>
      </c>
      <c r="P33" s="16" t="s">
        <v>111</v>
      </c>
      <c r="Q33" s="16" t="s">
        <v>42</v>
      </c>
      <c r="R33" s="31"/>
    </row>
    <row r="34" spans="1:18" ht="27" customHeight="1" x14ac:dyDescent="0.25">
      <c r="A34" s="12" t="s">
        <v>262</v>
      </c>
      <c r="B34" s="12" t="s">
        <v>49</v>
      </c>
      <c r="C34" s="12" t="s">
        <v>47</v>
      </c>
      <c r="D34" s="55"/>
      <c r="E34" s="27"/>
      <c r="F34" s="27"/>
      <c r="G34" s="27"/>
      <c r="H34" s="27"/>
      <c r="I34" s="27"/>
      <c r="J34" s="27"/>
      <c r="K34" s="28"/>
      <c r="L34" s="14" t="s">
        <v>47</v>
      </c>
      <c r="M34" s="14" t="s">
        <v>120</v>
      </c>
      <c r="N34" s="12" t="str">
        <f>CONCATENATE("0x",DEC2HEX(HEX2DEC(MID(Module_Address_Usage!$C$20,3,5))+HEX2DEC(MID($A34,3,5)),5))&amp;CHAR(10)&amp;"~ "&amp;CONCATENATE("0x",DEC2HEX(HEX2DEC(MID(Module_Address_Usage!$C$20,3,5))+HEX2DEC(MID($A34,13,5)),5))</f>
        <v>0x0000A
~ 0x0000B</v>
      </c>
      <c r="O34" s="12" t="str">
        <f>CONCATENATE("0x",DEC2HEX(HEX2DEC(MID(CONCATENATE("0x",DEC2HEX(HEX2DEC(MID(Module_Address_Usage!$C$20,3,5))+HEX2DEC(MID($A34,3,5)),5)),3,5))*4+0,6))&amp;CHAR(10)&amp;"~ "&amp;CONCATENATE("0x",DEC2HEX(HEX2DEC(MID(CONCATENATE("0x",DEC2HEX(HEX2DEC(MID(Module_Address_Usage!$C$20,3,5))+HEX2DEC(MID($A34,13,5)),5)),3,5))*4+3,6))</f>
        <v>0x000028
~ 0x00002F</v>
      </c>
      <c r="P34" s="12" t="s">
        <v>111</v>
      </c>
      <c r="Q34" s="12" t="s">
        <v>49</v>
      </c>
      <c r="R34" s="12" t="str">
        <f>CONCATENATE("0x",LEFT(DEC2HEX(HEX2DEC(MID(Module_Address_Usage!$C$18,3,8))+HEX2DEC(MID(CONCATENATE("0x",DEC2HEX(HEX2DEC(MID(Module_Address_Usage!$C$20,3,5))+HEX2DEC(MID($A34,3,5)),5)),3,5))*4+0,8),4),"_",RIGHT(DEC2HEX(HEX2DEC(MID(Module_Address_Usage!$C$18,3,8))+HEX2DEC(MID(CONCATENATE("0x",DEC2HEX(HEX2DEC(MID(Module_Address_Usage!$C$20,3,5))+HEX2DEC(MID($A34,3,5)),5)),3,5))*4+0,8),4))&amp;CHAR(10)&amp;"~ "&amp;CONCATENATE("0x",LEFT(DEC2HEX(HEX2DEC(MID(Module_Address_Usage!$C$18,3,8))+HEX2DEC(MID(CONCATENATE("0x",DEC2HEX(HEX2DEC(MID(Module_Address_Usage!$C$20,3,5))+HEX2DEC(MID($A34,13,5)),5)),3,5))*4+3,8),4),"_",RIGHT(DEC2HEX(HEX2DEC(MID(Module_Address_Usage!$C$18,3,8))+HEX2DEC(MID(CONCATENATE("0x",DEC2HEX(HEX2DEC(MID(Module_Address_Usage!$C$20,3,5))+HEX2DEC(MID($A34,13,5)),5)),3,5))*4+3,8),4))</f>
        <v>0x6000_0028
~ 0x6000_002F</v>
      </c>
    </row>
    <row r="35" spans="1:18" ht="20.100000000000001" customHeight="1" x14ac:dyDescent="0.25">
      <c r="A35" s="51" t="s">
        <v>263</v>
      </c>
      <c r="B35" s="13" t="s">
        <v>49</v>
      </c>
      <c r="C35" s="51" t="s">
        <v>264</v>
      </c>
      <c r="D35" s="22"/>
      <c r="E35" s="22"/>
      <c r="F35" s="22"/>
      <c r="G35" s="22"/>
      <c r="H35" s="22"/>
      <c r="I35" s="22"/>
      <c r="J35" s="22"/>
      <c r="K35" s="22"/>
      <c r="L35" s="49" t="s">
        <v>265</v>
      </c>
      <c r="M35" s="49" t="s">
        <v>266</v>
      </c>
      <c r="N35" s="51" t="str">
        <f>CONCATENATE("0x",DEC2HEX(HEX2DEC(MID(Module_Address_Usage!$C$20,3,5))+HEX2DEC(MID($A35,3,5)),5))</f>
        <v>0x0000C</v>
      </c>
      <c r="O35" s="13" t="str">
        <f>CONCATENATE("0x",DEC2HEX(HEX2DEC(MID($N$35,3,5))*4+3,6))</f>
        <v>0x000033</v>
      </c>
      <c r="P35" s="13" t="s">
        <v>111</v>
      </c>
      <c r="Q35" s="13" t="s">
        <v>49</v>
      </c>
      <c r="R35" s="51" t="str">
        <f>CONCATENATE("0x",LEFT(DEC2HEX(HEX2DEC(MID(Module_Address_Usage!$C$18,3,8))+HEX2DEC(MID($N$35,3,5))*4+0,8),4),"_",RIGHT(DEC2HEX(HEX2DEC(MID(Module_Address_Usage!$C$18,3,8))+HEX2DEC(MID($N$35,3,5))*4+0,8),4))</f>
        <v>0x6000_0030</v>
      </c>
    </row>
    <row r="36" spans="1:18" ht="20.100000000000001" customHeight="1" x14ac:dyDescent="0.25">
      <c r="A36" s="30"/>
      <c r="B36" s="15" t="s">
        <v>49</v>
      </c>
      <c r="C36" s="30"/>
      <c r="D36" s="17"/>
      <c r="E36" s="17"/>
      <c r="F36" s="17"/>
      <c r="G36" s="17"/>
      <c r="H36" s="17"/>
      <c r="I36" s="17"/>
      <c r="J36" s="17"/>
      <c r="K36" s="17"/>
      <c r="L36" s="30"/>
      <c r="M36" s="30"/>
      <c r="N36" s="30"/>
      <c r="O36" s="15" t="str">
        <f>CONCATENATE("0x",DEC2HEX(HEX2DEC(MID($N$35,3,5))*4+2,6))</f>
        <v>0x000032</v>
      </c>
      <c r="P36" s="15" t="s">
        <v>111</v>
      </c>
      <c r="Q36" s="15" t="s">
        <v>49</v>
      </c>
      <c r="R36" s="30"/>
    </row>
    <row r="37" spans="1:18" ht="20.100000000000001" customHeight="1" x14ac:dyDescent="0.25">
      <c r="A37" s="30"/>
      <c r="B37" s="15" t="s">
        <v>49</v>
      </c>
      <c r="C37" s="30"/>
      <c r="D37" s="17"/>
      <c r="E37" s="17"/>
      <c r="F37" s="17"/>
      <c r="G37" s="17"/>
      <c r="H37" s="17"/>
      <c r="I37" s="17"/>
      <c r="J37" s="17"/>
      <c r="K37" s="17"/>
      <c r="L37" s="30"/>
      <c r="M37" s="30"/>
      <c r="N37" s="30"/>
      <c r="O37" s="15" t="str">
        <f>CONCATENATE("0x",DEC2HEX(HEX2DEC(MID($N$35,3,5))*4+1,6))</f>
        <v>0x000031</v>
      </c>
      <c r="P37" s="15" t="s">
        <v>111</v>
      </c>
      <c r="Q37" s="15" t="s">
        <v>49</v>
      </c>
      <c r="R37" s="30"/>
    </row>
    <row r="38" spans="1:18" ht="20.100000000000001" customHeight="1" x14ac:dyDescent="0.25">
      <c r="A38" s="31"/>
      <c r="B38" s="16" t="s">
        <v>112</v>
      </c>
      <c r="C38" s="31"/>
      <c r="D38" s="18"/>
      <c r="E38" s="18"/>
      <c r="F38" s="18"/>
      <c r="G38" s="18"/>
      <c r="H38" s="16" t="s">
        <v>267</v>
      </c>
      <c r="I38" s="16" t="s">
        <v>268</v>
      </c>
      <c r="J38" s="16" t="s">
        <v>269</v>
      </c>
      <c r="K38" s="16" t="s">
        <v>270</v>
      </c>
      <c r="L38" s="31"/>
      <c r="M38" s="31"/>
      <c r="N38" s="31"/>
      <c r="O38" s="16" t="str">
        <f>CONCATENATE("0x",DEC2HEX(HEX2DEC(MID($N$35,3,5))*4+0,6))</f>
        <v>0x000030</v>
      </c>
      <c r="P38" s="16" t="s">
        <v>138</v>
      </c>
      <c r="Q38" s="16" t="s">
        <v>42</v>
      </c>
      <c r="R38" s="31"/>
    </row>
    <row r="39" spans="1:18" ht="20.100000000000001" customHeight="1" x14ac:dyDescent="0.25">
      <c r="A39" s="51" t="s">
        <v>271</v>
      </c>
      <c r="B39" s="13" t="s">
        <v>49</v>
      </c>
      <c r="C39" s="51" t="s">
        <v>272</v>
      </c>
      <c r="D39" s="22"/>
      <c r="E39" s="22"/>
      <c r="F39" s="22"/>
      <c r="G39" s="22"/>
      <c r="H39" s="22"/>
      <c r="I39" s="22"/>
      <c r="J39" s="22"/>
      <c r="K39" s="22"/>
      <c r="L39" s="49" t="s">
        <v>273</v>
      </c>
      <c r="M39" s="49" t="s">
        <v>274</v>
      </c>
      <c r="N39" s="51" t="str">
        <f>CONCATENATE("0x",DEC2HEX(HEX2DEC(MID(Module_Address_Usage!$C$20,3,5))+HEX2DEC(MID($A39,3,5)),5))</f>
        <v>0x0000D</v>
      </c>
      <c r="O39" s="13" t="str">
        <f>CONCATENATE("0x",DEC2HEX(HEX2DEC(MID($N$39,3,5))*4+3,6))</f>
        <v>0x000037</v>
      </c>
      <c r="P39" s="13" t="s">
        <v>111</v>
      </c>
      <c r="Q39" s="13" t="s">
        <v>49</v>
      </c>
      <c r="R39" s="51" t="str">
        <f>CONCATENATE("0x",LEFT(DEC2HEX(HEX2DEC(MID(Module_Address_Usage!$C$18,3,8))+HEX2DEC(MID($N$39,3,5))*4+0,8),4),"_",RIGHT(DEC2HEX(HEX2DEC(MID(Module_Address_Usage!$C$18,3,8))+HEX2DEC(MID($N$39,3,5))*4+0,8),4))</f>
        <v>0x6000_0034</v>
      </c>
    </row>
    <row r="40" spans="1:18" ht="20.100000000000001" customHeight="1" x14ac:dyDescent="0.25">
      <c r="A40" s="30"/>
      <c r="B40" s="15" t="s">
        <v>49</v>
      </c>
      <c r="C40" s="30"/>
      <c r="D40" s="17"/>
      <c r="E40" s="17"/>
      <c r="F40" s="17"/>
      <c r="G40" s="17"/>
      <c r="H40" s="17"/>
      <c r="I40" s="17"/>
      <c r="J40" s="17"/>
      <c r="K40" s="17"/>
      <c r="L40" s="30"/>
      <c r="M40" s="30"/>
      <c r="N40" s="30"/>
      <c r="O40" s="15" t="str">
        <f>CONCATENATE("0x",DEC2HEX(HEX2DEC(MID($N$39,3,5))*4+2,6))</f>
        <v>0x000036</v>
      </c>
      <c r="P40" s="15" t="s">
        <v>111</v>
      </c>
      <c r="Q40" s="15" t="s">
        <v>49</v>
      </c>
      <c r="R40" s="30"/>
    </row>
    <row r="41" spans="1:18" ht="20.100000000000001" customHeight="1" x14ac:dyDescent="0.25">
      <c r="A41" s="30"/>
      <c r="B41" s="15" t="s">
        <v>49</v>
      </c>
      <c r="C41" s="30"/>
      <c r="D41" s="17"/>
      <c r="E41" s="17"/>
      <c r="F41" s="17"/>
      <c r="G41" s="17"/>
      <c r="H41" s="17"/>
      <c r="I41" s="17"/>
      <c r="J41" s="17"/>
      <c r="K41" s="17"/>
      <c r="L41" s="30"/>
      <c r="M41" s="30"/>
      <c r="N41" s="30"/>
      <c r="O41" s="15" t="str">
        <f>CONCATENATE("0x",DEC2HEX(HEX2DEC(MID($N$39,3,5))*4+1,6))</f>
        <v>0x000035</v>
      </c>
      <c r="P41" s="15" t="s">
        <v>111</v>
      </c>
      <c r="Q41" s="15" t="s">
        <v>49</v>
      </c>
      <c r="R41" s="30"/>
    </row>
    <row r="42" spans="1:18" ht="20.100000000000001" customHeight="1" x14ac:dyDescent="0.25">
      <c r="A42" s="31"/>
      <c r="B42" s="16" t="s">
        <v>112</v>
      </c>
      <c r="C42" s="31"/>
      <c r="D42" s="18"/>
      <c r="E42" s="18"/>
      <c r="F42" s="18"/>
      <c r="G42" s="18"/>
      <c r="H42" s="16" t="s">
        <v>275</v>
      </c>
      <c r="I42" s="16" t="s">
        <v>276</v>
      </c>
      <c r="J42" s="16" t="s">
        <v>277</v>
      </c>
      <c r="K42" s="16" t="s">
        <v>278</v>
      </c>
      <c r="L42" s="31"/>
      <c r="M42" s="31"/>
      <c r="N42" s="31"/>
      <c r="O42" s="16" t="str">
        <f>CONCATENATE("0x",DEC2HEX(HEX2DEC(MID($N$39,3,5))*4+0,6))</f>
        <v>0x000034</v>
      </c>
      <c r="P42" s="16" t="s">
        <v>138</v>
      </c>
      <c r="Q42" s="16" t="s">
        <v>42</v>
      </c>
      <c r="R42" s="31"/>
    </row>
    <row r="43" spans="1:18" ht="20.100000000000001" customHeight="1" x14ac:dyDescent="0.25">
      <c r="A43" s="51" t="s">
        <v>279</v>
      </c>
      <c r="B43" s="13" t="s">
        <v>49</v>
      </c>
      <c r="C43" s="51" t="s">
        <v>280</v>
      </c>
      <c r="D43" s="22"/>
      <c r="E43" s="22"/>
      <c r="F43" s="22"/>
      <c r="G43" s="22"/>
      <c r="H43" s="22"/>
      <c r="I43" s="22"/>
      <c r="J43" s="22"/>
      <c r="K43" s="22"/>
      <c r="L43" s="49" t="s">
        <v>281</v>
      </c>
      <c r="M43" s="49" t="s">
        <v>282</v>
      </c>
      <c r="N43" s="51" t="str">
        <f>CONCATENATE("0x",DEC2HEX(HEX2DEC(MID(Module_Address_Usage!$C$20,3,5))+HEX2DEC(MID($A43,3,5)),5))</f>
        <v>0x0000E</v>
      </c>
      <c r="O43" s="13" t="str">
        <f>CONCATENATE("0x",DEC2HEX(HEX2DEC(MID($N$43,3,5))*4+3,6))</f>
        <v>0x00003B</v>
      </c>
      <c r="P43" s="13" t="s">
        <v>111</v>
      </c>
      <c r="Q43" s="13" t="s">
        <v>49</v>
      </c>
      <c r="R43" s="51" t="str">
        <f>CONCATENATE("0x",LEFT(DEC2HEX(HEX2DEC(MID(Module_Address_Usage!$C$18,3,8))+HEX2DEC(MID($N$43,3,5))*4+0,8),4),"_",RIGHT(DEC2HEX(HEX2DEC(MID(Module_Address_Usage!$C$18,3,8))+HEX2DEC(MID($N$43,3,5))*4+0,8),4))</f>
        <v>0x6000_0038</v>
      </c>
    </row>
    <row r="44" spans="1:18" ht="20.100000000000001" customHeight="1" x14ac:dyDescent="0.25">
      <c r="A44" s="30"/>
      <c r="B44" s="15" t="s">
        <v>49</v>
      </c>
      <c r="C44" s="30"/>
      <c r="D44" s="17"/>
      <c r="E44" s="17"/>
      <c r="F44" s="17"/>
      <c r="G44" s="17"/>
      <c r="H44" s="17"/>
      <c r="I44" s="17"/>
      <c r="J44" s="17"/>
      <c r="K44" s="17"/>
      <c r="L44" s="30"/>
      <c r="M44" s="30"/>
      <c r="N44" s="30"/>
      <c r="O44" s="15" t="str">
        <f>CONCATENATE("0x",DEC2HEX(HEX2DEC(MID($N$43,3,5))*4+2,6))</f>
        <v>0x00003A</v>
      </c>
      <c r="P44" s="15" t="s">
        <v>111</v>
      </c>
      <c r="Q44" s="15" t="s">
        <v>49</v>
      </c>
      <c r="R44" s="30"/>
    </row>
    <row r="45" spans="1:18" ht="20.100000000000001" customHeight="1" x14ac:dyDescent="0.25">
      <c r="A45" s="30"/>
      <c r="B45" s="15" t="s">
        <v>49</v>
      </c>
      <c r="C45" s="30"/>
      <c r="D45" s="17"/>
      <c r="E45" s="17"/>
      <c r="F45" s="17"/>
      <c r="G45" s="17"/>
      <c r="H45" s="17"/>
      <c r="I45" s="17"/>
      <c r="J45" s="17"/>
      <c r="K45" s="17"/>
      <c r="L45" s="30"/>
      <c r="M45" s="30"/>
      <c r="N45" s="30"/>
      <c r="O45" s="15" t="str">
        <f>CONCATENATE("0x",DEC2HEX(HEX2DEC(MID($N$43,3,5))*4+1,6))</f>
        <v>0x000039</v>
      </c>
      <c r="P45" s="15" t="s">
        <v>111</v>
      </c>
      <c r="Q45" s="15" t="s">
        <v>49</v>
      </c>
      <c r="R45" s="30"/>
    </row>
    <row r="46" spans="1:18" ht="20.100000000000001" customHeight="1" x14ac:dyDescent="0.25">
      <c r="A46" s="31"/>
      <c r="B46" s="16" t="s">
        <v>283</v>
      </c>
      <c r="C46" s="31"/>
      <c r="D46" s="18"/>
      <c r="E46" s="18"/>
      <c r="F46" s="18"/>
      <c r="G46" s="18"/>
      <c r="H46" s="18"/>
      <c r="I46" s="18"/>
      <c r="J46" s="18"/>
      <c r="K46" s="16" t="s">
        <v>284</v>
      </c>
      <c r="L46" s="31"/>
      <c r="M46" s="31"/>
      <c r="N46" s="31"/>
      <c r="O46" s="16" t="str">
        <f>CONCATENATE("0x",DEC2HEX(HEX2DEC(MID($N$43,3,5))*4+0,6))</f>
        <v>0x000038</v>
      </c>
      <c r="P46" s="16" t="s">
        <v>138</v>
      </c>
      <c r="Q46" s="16" t="s">
        <v>42</v>
      </c>
      <c r="R46" s="31"/>
    </row>
    <row r="47" spans="1:18" ht="20.100000000000001" customHeight="1" x14ac:dyDescent="0.25">
      <c r="A47" s="51" t="s">
        <v>285</v>
      </c>
      <c r="B47" s="13" t="s">
        <v>49</v>
      </c>
      <c r="C47" s="51" t="s">
        <v>286</v>
      </c>
      <c r="D47" s="22"/>
      <c r="E47" s="22"/>
      <c r="F47" s="22"/>
      <c r="G47" s="22"/>
      <c r="H47" s="22"/>
      <c r="I47" s="22"/>
      <c r="J47" s="22"/>
      <c r="K47" s="22"/>
      <c r="L47" s="49" t="s">
        <v>287</v>
      </c>
      <c r="M47" s="49" t="s">
        <v>288</v>
      </c>
      <c r="N47" s="51" t="str">
        <f>CONCATENATE("0x",DEC2HEX(HEX2DEC(MID(Module_Address_Usage!$C$20,3,5))+HEX2DEC(MID($A47,3,5)),5))</f>
        <v>0x0000F</v>
      </c>
      <c r="O47" s="13" t="str">
        <f>CONCATENATE("0x",DEC2HEX(HEX2DEC(MID($N$47,3,5))*4+3,6))</f>
        <v>0x00003F</v>
      </c>
      <c r="P47" s="13" t="s">
        <v>111</v>
      </c>
      <c r="Q47" s="13" t="s">
        <v>49</v>
      </c>
      <c r="R47" s="51" t="str">
        <f>CONCATENATE("0x",LEFT(DEC2HEX(HEX2DEC(MID(Module_Address_Usage!$C$18,3,8))+HEX2DEC(MID($N$47,3,5))*4+0,8),4),"_",RIGHT(DEC2HEX(HEX2DEC(MID(Module_Address_Usage!$C$18,3,8))+HEX2DEC(MID($N$47,3,5))*4+0,8),4))</f>
        <v>0x6000_003C</v>
      </c>
    </row>
    <row r="48" spans="1:18" ht="20.100000000000001" customHeight="1" x14ac:dyDescent="0.25">
      <c r="A48" s="30"/>
      <c r="B48" s="15" t="s">
        <v>49</v>
      </c>
      <c r="C48" s="30"/>
      <c r="D48" s="17"/>
      <c r="E48" s="17"/>
      <c r="F48" s="17"/>
      <c r="G48" s="17"/>
      <c r="H48" s="17"/>
      <c r="I48" s="17"/>
      <c r="J48" s="17"/>
      <c r="K48" s="17"/>
      <c r="L48" s="30"/>
      <c r="M48" s="30"/>
      <c r="N48" s="30"/>
      <c r="O48" s="15" t="str">
        <f>CONCATENATE("0x",DEC2HEX(HEX2DEC(MID($N$47,3,5))*4+2,6))</f>
        <v>0x00003E</v>
      </c>
      <c r="P48" s="15" t="s">
        <v>111</v>
      </c>
      <c r="Q48" s="15" t="s">
        <v>49</v>
      </c>
      <c r="R48" s="30"/>
    </row>
    <row r="49" spans="1:18" ht="20.100000000000001" customHeight="1" x14ac:dyDescent="0.25">
      <c r="A49" s="30"/>
      <c r="B49" s="15" t="s">
        <v>112</v>
      </c>
      <c r="C49" s="30"/>
      <c r="D49" s="17"/>
      <c r="E49" s="17"/>
      <c r="F49" s="17"/>
      <c r="G49" s="17"/>
      <c r="H49" s="56" t="s">
        <v>289</v>
      </c>
      <c r="I49" s="24"/>
      <c r="J49" s="24"/>
      <c r="K49" s="25"/>
      <c r="L49" s="30"/>
      <c r="M49" s="30"/>
      <c r="N49" s="30"/>
      <c r="O49" s="15" t="str">
        <f>CONCATENATE("0x",DEC2HEX(HEX2DEC(MID($N$47,3,5))*4+1,6))</f>
        <v>0x00003D</v>
      </c>
      <c r="P49" s="15" t="s">
        <v>290</v>
      </c>
      <c r="Q49" s="15" t="s">
        <v>42</v>
      </c>
      <c r="R49" s="30"/>
    </row>
    <row r="50" spans="1:18" ht="20.100000000000001" customHeight="1" x14ac:dyDescent="0.25">
      <c r="A50" s="31"/>
      <c r="B50" s="16" t="s">
        <v>112</v>
      </c>
      <c r="C50" s="31"/>
      <c r="D50" s="57" t="s">
        <v>291</v>
      </c>
      <c r="E50" s="47"/>
      <c r="F50" s="47"/>
      <c r="G50" s="47"/>
      <c r="H50" s="47"/>
      <c r="I50" s="47"/>
      <c r="J50" s="47"/>
      <c r="K50" s="48"/>
      <c r="L50" s="31"/>
      <c r="M50" s="31"/>
      <c r="N50" s="31"/>
      <c r="O50" s="16" t="str">
        <f>CONCATENATE("0x",DEC2HEX(HEX2DEC(MID($N$47,3,5))*4+0,6))</f>
        <v>0x00003C</v>
      </c>
      <c r="P50" s="16" t="s">
        <v>292</v>
      </c>
      <c r="Q50" s="16" t="s">
        <v>42</v>
      </c>
      <c r="R50" s="31"/>
    </row>
    <row r="51" spans="1:18" ht="20.100000000000001" customHeight="1" x14ac:dyDescent="0.25">
      <c r="A51" s="51" t="s">
        <v>150</v>
      </c>
      <c r="B51" s="13" t="s">
        <v>49</v>
      </c>
      <c r="C51" s="51" t="s">
        <v>293</v>
      </c>
      <c r="D51" s="22"/>
      <c r="E51" s="22"/>
      <c r="F51" s="22"/>
      <c r="G51" s="22"/>
      <c r="H51" s="22"/>
      <c r="I51" s="22"/>
      <c r="J51" s="22"/>
      <c r="K51" s="22"/>
      <c r="L51" s="49" t="s">
        <v>294</v>
      </c>
      <c r="M51" s="49" t="s">
        <v>295</v>
      </c>
      <c r="N51" s="51" t="str">
        <f>CONCATENATE("0x",DEC2HEX(HEX2DEC(MID(Module_Address_Usage!$C$20,3,5))+HEX2DEC(MID($A51,3,5)),5))</f>
        <v>0x00010</v>
      </c>
      <c r="O51" s="13" t="str">
        <f>CONCATENATE("0x",DEC2HEX(HEX2DEC(MID($N$51,3,5))*4+3,6))</f>
        <v>0x000043</v>
      </c>
      <c r="P51" s="13" t="s">
        <v>111</v>
      </c>
      <c r="Q51" s="13" t="s">
        <v>49</v>
      </c>
      <c r="R51" s="51" t="str">
        <f>CONCATENATE("0x",LEFT(DEC2HEX(HEX2DEC(MID(Module_Address_Usage!$C$18,3,8))+HEX2DEC(MID($N$51,3,5))*4+0,8),4),"_",RIGHT(DEC2HEX(HEX2DEC(MID(Module_Address_Usage!$C$18,3,8))+HEX2DEC(MID($N$51,3,5))*4+0,8),4))</f>
        <v>0x6000_0040</v>
      </c>
    </row>
    <row r="52" spans="1:18" ht="20.100000000000001" customHeight="1" x14ac:dyDescent="0.25">
      <c r="A52" s="30"/>
      <c r="B52" s="15" t="s">
        <v>49</v>
      </c>
      <c r="C52" s="30"/>
      <c r="D52" s="17"/>
      <c r="E52" s="17"/>
      <c r="F52" s="17"/>
      <c r="G52" s="17"/>
      <c r="H52" s="17"/>
      <c r="I52" s="17"/>
      <c r="J52" s="17"/>
      <c r="K52" s="17"/>
      <c r="L52" s="30"/>
      <c r="M52" s="30"/>
      <c r="N52" s="30"/>
      <c r="O52" s="15" t="str">
        <f>CONCATENATE("0x",DEC2HEX(HEX2DEC(MID($N$51,3,5))*4+2,6))</f>
        <v>0x000042</v>
      </c>
      <c r="P52" s="15" t="s">
        <v>111</v>
      </c>
      <c r="Q52" s="15" t="s">
        <v>49</v>
      </c>
      <c r="R52" s="30"/>
    </row>
    <row r="53" spans="1:18" ht="20.100000000000001" customHeight="1" x14ac:dyDescent="0.25">
      <c r="A53" s="30"/>
      <c r="B53" s="15" t="s">
        <v>112</v>
      </c>
      <c r="C53" s="30"/>
      <c r="D53" s="17"/>
      <c r="E53" s="17"/>
      <c r="F53" s="17"/>
      <c r="G53" s="17"/>
      <c r="H53" s="56" t="s">
        <v>296</v>
      </c>
      <c r="I53" s="24"/>
      <c r="J53" s="24"/>
      <c r="K53" s="25"/>
      <c r="L53" s="30"/>
      <c r="M53" s="30"/>
      <c r="N53" s="30"/>
      <c r="O53" s="15" t="str">
        <f>CONCATENATE("0x",DEC2HEX(HEX2DEC(MID($N$51,3,5))*4+1,6))</f>
        <v>0x000041</v>
      </c>
      <c r="P53" s="15" t="s">
        <v>297</v>
      </c>
      <c r="Q53" s="15" t="s">
        <v>42</v>
      </c>
      <c r="R53" s="30"/>
    </row>
    <row r="54" spans="1:18" ht="20.100000000000001" customHeight="1" x14ac:dyDescent="0.25">
      <c r="A54" s="31"/>
      <c r="B54" s="16" t="s">
        <v>112</v>
      </c>
      <c r="C54" s="31"/>
      <c r="D54" s="57" t="s">
        <v>298</v>
      </c>
      <c r="E54" s="47"/>
      <c r="F54" s="47"/>
      <c r="G54" s="47"/>
      <c r="H54" s="47"/>
      <c r="I54" s="47"/>
      <c r="J54" s="47"/>
      <c r="K54" s="48"/>
      <c r="L54" s="31"/>
      <c r="M54" s="31"/>
      <c r="N54" s="31"/>
      <c r="O54" s="16" t="str">
        <f>CONCATENATE("0x",DEC2HEX(HEX2DEC(MID($N$51,3,5))*4+0,6))</f>
        <v>0x000040</v>
      </c>
      <c r="P54" s="16" t="s">
        <v>299</v>
      </c>
      <c r="Q54" s="16" t="s">
        <v>42</v>
      </c>
      <c r="R54" s="31"/>
    </row>
    <row r="55" spans="1:18" ht="20.100000000000001" customHeight="1" x14ac:dyDescent="0.25">
      <c r="A55" s="51" t="s">
        <v>155</v>
      </c>
      <c r="B55" s="13" t="s">
        <v>49</v>
      </c>
      <c r="C55" s="51" t="s">
        <v>300</v>
      </c>
      <c r="D55" s="22"/>
      <c r="E55" s="22"/>
      <c r="F55" s="22"/>
      <c r="G55" s="22"/>
      <c r="H55" s="22"/>
      <c r="I55" s="22"/>
      <c r="J55" s="22"/>
      <c r="K55" s="22"/>
      <c r="L55" s="49" t="s">
        <v>301</v>
      </c>
      <c r="M55" s="49" t="s">
        <v>302</v>
      </c>
      <c r="N55" s="51" t="str">
        <f>CONCATENATE("0x",DEC2HEX(HEX2DEC(MID(Module_Address_Usage!$C$20,3,5))+HEX2DEC(MID($A55,3,5)),5))</f>
        <v>0x00011</v>
      </c>
      <c r="O55" s="13" t="str">
        <f>CONCATENATE("0x",DEC2HEX(HEX2DEC(MID($N$55,3,5))*4+3,6))</f>
        <v>0x000047</v>
      </c>
      <c r="P55" s="13" t="s">
        <v>111</v>
      </c>
      <c r="Q55" s="13" t="s">
        <v>49</v>
      </c>
      <c r="R55" s="51" t="str">
        <f>CONCATENATE("0x",LEFT(DEC2HEX(HEX2DEC(MID(Module_Address_Usage!$C$18,3,8))+HEX2DEC(MID($N$55,3,5))*4+0,8),4),"_",RIGHT(DEC2HEX(HEX2DEC(MID(Module_Address_Usage!$C$18,3,8))+HEX2DEC(MID($N$55,3,5))*4+0,8),4))</f>
        <v>0x6000_0044</v>
      </c>
    </row>
    <row r="56" spans="1:18" ht="20.100000000000001" customHeight="1" x14ac:dyDescent="0.25">
      <c r="A56" s="30"/>
      <c r="B56" s="15" t="s">
        <v>49</v>
      </c>
      <c r="C56" s="30"/>
      <c r="D56" s="17"/>
      <c r="E56" s="17"/>
      <c r="F56" s="17"/>
      <c r="G56" s="17"/>
      <c r="H56" s="17"/>
      <c r="I56" s="17"/>
      <c r="J56" s="17"/>
      <c r="K56" s="17"/>
      <c r="L56" s="30"/>
      <c r="M56" s="30"/>
      <c r="N56" s="30"/>
      <c r="O56" s="15" t="str">
        <f>CONCATENATE("0x",DEC2HEX(HEX2DEC(MID($N$55,3,5))*4+2,6))</f>
        <v>0x000046</v>
      </c>
      <c r="P56" s="15" t="s">
        <v>111</v>
      </c>
      <c r="Q56" s="15" t="s">
        <v>49</v>
      </c>
      <c r="R56" s="30"/>
    </row>
    <row r="57" spans="1:18" ht="20.100000000000001" customHeight="1" x14ac:dyDescent="0.25">
      <c r="A57" s="30"/>
      <c r="B57" s="15" t="s">
        <v>112</v>
      </c>
      <c r="C57" s="30"/>
      <c r="D57" s="17"/>
      <c r="E57" s="17"/>
      <c r="F57" s="17"/>
      <c r="G57" s="17"/>
      <c r="H57" s="56" t="s">
        <v>303</v>
      </c>
      <c r="I57" s="24"/>
      <c r="J57" s="24"/>
      <c r="K57" s="25"/>
      <c r="L57" s="30"/>
      <c r="M57" s="30"/>
      <c r="N57" s="30"/>
      <c r="O57" s="15" t="str">
        <f>CONCATENATE("0x",DEC2HEX(HEX2DEC(MID($N$55,3,5))*4+1,6))</f>
        <v>0x000045</v>
      </c>
      <c r="P57" s="15" t="s">
        <v>304</v>
      </c>
      <c r="Q57" s="15" t="s">
        <v>42</v>
      </c>
      <c r="R57" s="30"/>
    </row>
    <row r="58" spans="1:18" ht="20.100000000000001" customHeight="1" x14ac:dyDescent="0.25">
      <c r="A58" s="31"/>
      <c r="B58" s="16" t="s">
        <v>112</v>
      </c>
      <c r="C58" s="31"/>
      <c r="D58" s="57" t="s">
        <v>305</v>
      </c>
      <c r="E58" s="47"/>
      <c r="F58" s="47"/>
      <c r="G58" s="47"/>
      <c r="H58" s="47"/>
      <c r="I58" s="47"/>
      <c r="J58" s="47"/>
      <c r="K58" s="48"/>
      <c r="L58" s="31"/>
      <c r="M58" s="31"/>
      <c r="N58" s="31"/>
      <c r="O58" s="16" t="str">
        <f>CONCATENATE("0x",DEC2HEX(HEX2DEC(MID($N$55,3,5))*4+0,6))</f>
        <v>0x000044</v>
      </c>
      <c r="P58" s="16" t="s">
        <v>292</v>
      </c>
      <c r="Q58" s="16" t="s">
        <v>42</v>
      </c>
      <c r="R58" s="31"/>
    </row>
    <row r="59" spans="1:18" ht="20.100000000000001" customHeight="1" x14ac:dyDescent="0.25">
      <c r="A59" s="51" t="s">
        <v>160</v>
      </c>
      <c r="B59" s="13" t="s">
        <v>49</v>
      </c>
      <c r="C59" s="51" t="s">
        <v>306</v>
      </c>
      <c r="D59" s="22"/>
      <c r="E59" s="22"/>
      <c r="F59" s="22"/>
      <c r="G59" s="22"/>
      <c r="H59" s="22"/>
      <c r="I59" s="22"/>
      <c r="J59" s="22"/>
      <c r="K59" s="22"/>
      <c r="L59" s="49" t="s">
        <v>307</v>
      </c>
      <c r="M59" s="49" t="s">
        <v>308</v>
      </c>
      <c r="N59" s="51" t="str">
        <f>CONCATENATE("0x",DEC2HEX(HEX2DEC(MID(Module_Address_Usage!$C$20,3,5))+HEX2DEC(MID($A59,3,5)),5))</f>
        <v>0x00012</v>
      </c>
      <c r="O59" s="13" t="str">
        <f>CONCATENATE("0x",DEC2HEX(HEX2DEC(MID($N$59,3,5))*4+3,6))</f>
        <v>0x00004B</v>
      </c>
      <c r="P59" s="13" t="s">
        <v>111</v>
      </c>
      <c r="Q59" s="13" t="s">
        <v>49</v>
      </c>
      <c r="R59" s="51" t="str">
        <f>CONCATENATE("0x",LEFT(DEC2HEX(HEX2DEC(MID(Module_Address_Usage!$C$18,3,8))+HEX2DEC(MID($N$59,3,5))*4+0,8),4),"_",RIGHT(DEC2HEX(HEX2DEC(MID(Module_Address_Usage!$C$18,3,8))+HEX2DEC(MID($N$59,3,5))*4+0,8),4))</f>
        <v>0x6000_0048</v>
      </c>
    </row>
    <row r="60" spans="1:18" ht="20.100000000000001" customHeight="1" x14ac:dyDescent="0.25">
      <c r="A60" s="30"/>
      <c r="B60" s="15" t="s">
        <v>49</v>
      </c>
      <c r="C60" s="30"/>
      <c r="D60" s="17"/>
      <c r="E60" s="17"/>
      <c r="F60" s="17"/>
      <c r="G60" s="17"/>
      <c r="H60" s="17"/>
      <c r="I60" s="17"/>
      <c r="J60" s="17"/>
      <c r="K60" s="17"/>
      <c r="L60" s="30"/>
      <c r="M60" s="30"/>
      <c r="N60" s="30"/>
      <c r="O60" s="15" t="str">
        <f>CONCATENATE("0x",DEC2HEX(HEX2DEC(MID($N$59,3,5))*4+2,6))</f>
        <v>0x00004A</v>
      </c>
      <c r="P60" s="15" t="s">
        <v>111</v>
      </c>
      <c r="Q60" s="15" t="s">
        <v>49</v>
      </c>
      <c r="R60" s="30"/>
    </row>
    <row r="61" spans="1:18" ht="20.100000000000001" customHeight="1" x14ac:dyDescent="0.25">
      <c r="A61" s="30"/>
      <c r="B61" s="15" t="s">
        <v>112</v>
      </c>
      <c r="C61" s="30"/>
      <c r="D61" s="17"/>
      <c r="E61" s="17"/>
      <c r="F61" s="17"/>
      <c r="G61" s="17"/>
      <c r="H61" s="56" t="s">
        <v>309</v>
      </c>
      <c r="I61" s="24"/>
      <c r="J61" s="24"/>
      <c r="K61" s="25"/>
      <c r="L61" s="30"/>
      <c r="M61" s="30"/>
      <c r="N61" s="30"/>
      <c r="O61" s="15" t="str">
        <f>CONCATENATE("0x",DEC2HEX(HEX2DEC(MID($N$59,3,5))*4+1,6))</f>
        <v>0x000049</v>
      </c>
      <c r="P61" s="15" t="s">
        <v>310</v>
      </c>
      <c r="Q61" s="15" t="s">
        <v>42</v>
      </c>
      <c r="R61" s="30"/>
    </row>
    <row r="62" spans="1:18" ht="20.100000000000001" customHeight="1" x14ac:dyDescent="0.25">
      <c r="A62" s="31"/>
      <c r="B62" s="16" t="s">
        <v>112</v>
      </c>
      <c r="C62" s="31"/>
      <c r="D62" s="57" t="s">
        <v>311</v>
      </c>
      <c r="E62" s="47"/>
      <c r="F62" s="47"/>
      <c r="G62" s="47"/>
      <c r="H62" s="47"/>
      <c r="I62" s="47"/>
      <c r="J62" s="47"/>
      <c r="K62" s="48"/>
      <c r="L62" s="31"/>
      <c r="M62" s="31"/>
      <c r="N62" s="31"/>
      <c r="O62" s="16" t="str">
        <f>CONCATENATE("0x",DEC2HEX(HEX2DEC(MID($N$59,3,5))*4+0,6))</f>
        <v>0x000048</v>
      </c>
      <c r="P62" s="16" t="s">
        <v>299</v>
      </c>
      <c r="Q62" s="16" t="s">
        <v>42</v>
      </c>
      <c r="R62" s="31"/>
    </row>
    <row r="63" spans="1:18" ht="27" customHeight="1" x14ac:dyDescent="0.25">
      <c r="A63" s="12" t="s">
        <v>312</v>
      </c>
      <c r="B63" s="12" t="s">
        <v>49</v>
      </c>
      <c r="C63" s="12" t="s">
        <v>47</v>
      </c>
      <c r="D63" s="55"/>
      <c r="E63" s="27"/>
      <c r="F63" s="27"/>
      <c r="G63" s="27"/>
      <c r="H63" s="27"/>
      <c r="I63" s="27"/>
      <c r="J63" s="27"/>
      <c r="K63" s="28"/>
      <c r="L63" s="14" t="s">
        <v>47</v>
      </c>
      <c r="M63" s="14" t="s">
        <v>120</v>
      </c>
      <c r="N63" s="12" t="str">
        <f>CONCATENATE("0x",DEC2HEX(HEX2DEC(MID(Module_Address_Usage!$C$20,3,5))+HEX2DEC(MID($A63,3,5)),5))&amp;CHAR(10)&amp;"~ "&amp;CONCATENATE("0x",DEC2HEX(HEX2DEC(MID(Module_Address_Usage!$C$20,3,5))+HEX2DEC(MID($A63,13,5)),5))</f>
        <v>0x00013
~ 0x00013</v>
      </c>
      <c r="O63" s="12" t="str">
        <f>CONCATENATE("0x",DEC2HEX(HEX2DEC(MID(CONCATENATE("0x",DEC2HEX(HEX2DEC(MID(Module_Address_Usage!$C$20,3,5))+HEX2DEC(MID($A63,3,5)),5)),3,5))*4+0,6))&amp;CHAR(10)&amp;"~ "&amp;CONCATENATE("0x",DEC2HEX(HEX2DEC(MID(CONCATENATE("0x",DEC2HEX(HEX2DEC(MID(Module_Address_Usage!$C$20,3,5))+HEX2DEC(MID($A63,13,5)),5)),3,5))*4+3,6))</f>
        <v>0x00004C
~ 0x00004F</v>
      </c>
      <c r="P63" s="12" t="s">
        <v>111</v>
      </c>
      <c r="Q63" s="12" t="s">
        <v>49</v>
      </c>
      <c r="R63" s="12" t="str">
        <f>CONCATENATE("0x",LEFT(DEC2HEX(HEX2DEC(MID(Module_Address_Usage!$C$18,3,8))+HEX2DEC(MID(CONCATENATE("0x",DEC2HEX(HEX2DEC(MID(Module_Address_Usage!$C$20,3,5))+HEX2DEC(MID($A63,3,5)),5)),3,5))*4+0,8),4),"_",RIGHT(DEC2HEX(HEX2DEC(MID(Module_Address_Usage!$C$18,3,8))+HEX2DEC(MID(CONCATENATE("0x",DEC2HEX(HEX2DEC(MID(Module_Address_Usage!$C$20,3,5))+HEX2DEC(MID($A63,3,5)),5)),3,5))*4+0,8),4))&amp;CHAR(10)&amp;"~ "&amp;CONCATENATE("0x",LEFT(DEC2HEX(HEX2DEC(MID(Module_Address_Usage!$C$18,3,8))+HEX2DEC(MID(CONCATENATE("0x",DEC2HEX(HEX2DEC(MID(Module_Address_Usage!$C$20,3,5))+HEX2DEC(MID($A63,13,5)),5)),3,5))*4+3,8),4),"_",RIGHT(DEC2HEX(HEX2DEC(MID(Module_Address_Usage!$C$18,3,8))+HEX2DEC(MID(CONCATENATE("0x",DEC2HEX(HEX2DEC(MID(Module_Address_Usage!$C$20,3,5))+HEX2DEC(MID($A63,13,5)),5)),3,5))*4+3,8),4))</f>
        <v>0x6000_004C
~ 0x6000_004F</v>
      </c>
    </row>
    <row r="64" spans="1:18" ht="20.100000000000001" customHeight="1" x14ac:dyDescent="0.25">
      <c r="A64" s="51" t="s">
        <v>170</v>
      </c>
      <c r="B64" s="13" t="s">
        <v>118</v>
      </c>
      <c r="C64" s="51" t="s">
        <v>313</v>
      </c>
      <c r="D64" s="52" t="s">
        <v>314</v>
      </c>
      <c r="E64" s="53"/>
      <c r="F64" s="53"/>
      <c r="G64" s="53"/>
      <c r="H64" s="53"/>
      <c r="I64" s="53"/>
      <c r="J64" s="53"/>
      <c r="K64" s="54"/>
      <c r="L64" s="49" t="s">
        <v>315</v>
      </c>
      <c r="M64" s="49" t="s">
        <v>316</v>
      </c>
      <c r="N64" s="51" t="str">
        <f>CONCATENATE("0x",DEC2HEX(HEX2DEC(MID(Module_Address_Usage!$C$20,3,5))+HEX2DEC(MID($A64,3,5)),5))</f>
        <v>0x00014</v>
      </c>
      <c r="O64" s="13" t="str">
        <f>CONCATENATE("0x",DEC2HEX(HEX2DEC(MID($N$64,3,5))*4+3,6))</f>
        <v>0x000053</v>
      </c>
      <c r="P64" s="13" t="s">
        <v>111</v>
      </c>
      <c r="Q64" s="13" t="s">
        <v>42</v>
      </c>
      <c r="R64" s="51" t="str">
        <f>CONCATENATE("0x",LEFT(DEC2HEX(HEX2DEC(MID(Module_Address_Usage!$C$18,3,8))+HEX2DEC(MID($N$64,3,5))*4+0,8),4),"_",RIGHT(DEC2HEX(HEX2DEC(MID(Module_Address_Usage!$C$18,3,8))+HEX2DEC(MID($N$64,3,5))*4+0,8),4))</f>
        <v>0x6000_0050</v>
      </c>
    </row>
    <row r="65" spans="1:18" ht="20.100000000000001" customHeight="1" x14ac:dyDescent="0.25">
      <c r="A65" s="30"/>
      <c r="B65" s="15" t="s">
        <v>118</v>
      </c>
      <c r="C65" s="30"/>
      <c r="D65" s="56" t="s">
        <v>317</v>
      </c>
      <c r="E65" s="24"/>
      <c r="F65" s="24"/>
      <c r="G65" s="24"/>
      <c r="H65" s="24"/>
      <c r="I65" s="24"/>
      <c r="J65" s="24"/>
      <c r="K65" s="25"/>
      <c r="L65" s="30"/>
      <c r="M65" s="30"/>
      <c r="N65" s="30"/>
      <c r="O65" s="15" t="str">
        <f>CONCATENATE("0x",DEC2HEX(HEX2DEC(MID($N$64,3,5))*4+2,6))</f>
        <v>0x000052</v>
      </c>
      <c r="P65" s="15" t="s">
        <v>111</v>
      </c>
      <c r="Q65" s="15" t="s">
        <v>42</v>
      </c>
      <c r="R65" s="30"/>
    </row>
    <row r="66" spans="1:18" ht="20.100000000000001" customHeight="1" x14ac:dyDescent="0.25">
      <c r="A66" s="30"/>
      <c r="B66" s="15" t="s">
        <v>118</v>
      </c>
      <c r="C66" s="30"/>
      <c r="D66" s="56" t="s">
        <v>318</v>
      </c>
      <c r="E66" s="24"/>
      <c r="F66" s="24"/>
      <c r="G66" s="24"/>
      <c r="H66" s="24"/>
      <c r="I66" s="24"/>
      <c r="J66" s="24"/>
      <c r="K66" s="25"/>
      <c r="L66" s="30"/>
      <c r="M66" s="30"/>
      <c r="N66" s="30"/>
      <c r="O66" s="15" t="str">
        <f>CONCATENATE("0x",DEC2HEX(HEX2DEC(MID($N$64,3,5))*4+1,6))</f>
        <v>0x000051</v>
      </c>
      <c r="P66" s="15" t="s">
        <v>111</v>
      </c>
      <c r="Q66" s="15" t="s">
        <v>42</v>
      </c>
      <c r="R66" s="30"/>
    </row>
    <row r="67" spans="1:18" ht="20.100000000000001" customHeight="1" x14ac:dyDescent="0.25">
      <c r="A67" s="31"/>
      <c r="B67" s="16" t="s">
        <v>118</v>
      </c>
      <c r="C67" s="31"/>
      <c r="D67" s="57" t="s">
        <v>319</v>
      </c>
      <c r="E67" s="47"/>
      <c r="F67" s="47"/>
      <c r="G67" s="47"/>
      <c r="H67" s="47"/>
      <c r="I67" s="47"/>
      <c r="J67" s="47"/>
      <c r="K67" s="48"/>
      <c r="L67" s="31"/>
      <c r="M67" s="31"/>
      <c r="N67" s="31"/>
      <c r="O67" s="16" t="str">
        <f>CONCATENATE("0x",DEC2HEX(HEX2DEC(MID($N$64,3,5))*4+0,6))</f>
        <v>0x000050</v>
      </c>
      <c r="P67" s="16" t="s">
        <v>111</v>
      </c>
      <c r="Q67" s="16" t="s">
        <v>42</v>
      </c>
      <c r="R67" s="31"/>
    </row>
    <row r="68" spans="1:18" ht="20.100000000000001" customHeight="1" x14ac:dyDescent="0.25">
      <c r="A68" s="51" t="s">
        <v>175</v>
      </c>
      <c r="B68" s="13" t="s">
        <v>118</v>
      </c>
      <c r="C68" s="51" t="s">
        <v>320</v>
      </c>
      <c r="D68" s="52" t="s">
        <v>321</v>
      </c>
      <c r="E68" s="53"/>
      <c r="F68" s="53"/>
      <c r="G68" s="53"/>
      <c r="H68" s="53"/>
      <c r="I68" s="53"/>
      <c r="J68" s="53"/>
      <c r="K68" s="54"/>
      <c r="L68" s="49" t="s">
        <v>322</v>
      </c>
      <c r="M68" s="49" t="s">
        <v>316</v>
      </c>
      <c r="N68" s="51" t="str">
        <f>CONCATENATE("0x",DEC2HEX(HEX2DEC(MID(Module_Address_Usage!$C$20,3,5))+HEX2DEC(MID($A68,3,5)),5))</f>
        <v>0x00015</v>
      </c>
      <c r="O68" s="13" t="str">
        <f>CONCATENATE("0x",DEC2HEX(HEX2DEC(MID($N$68,3,5))*4+3,6))</f>
        <v>0x000057</v>
      </c>
      <c r="P68" s="13" t="s">
        <v>111</v>
      </c>
      <c r="Q68" s="13" t="s">
        <v>42</v>
      </c>
      <c r="R68" s="51" t="str">
        <f>CONCATENATE("0x",LEFT(DEC2HEX(HEX2DEC(MID(Module_Address_Usage!$C$18,3,8))+HEX2DEC(MID($N$68,3,5))*4+0,8),4),"_",RIGHT(DEC2HEX(HEX2DEC(MID(Module_Address_Usage!$C$18,3,8))+HEX2DEC(MID($N$68,3,5))*4+0,8),4))</f>
        <v>0x6000_0054</v>
      </c>
    </row>
    <row r="69" spans="1:18" ht="20.100000000000001" customHeight="1" x14ac:dyDescent="0.25">
      <c r="A69" s="30"/>
      <c r="B69" s="15" t="s">
        <v>118</v>
      </c>
      <c r="C69" s="30"/>
      <c r="D69" s="56" t="s">
        <v>323</v>
      </c>
      <c r="E69" s="24"/>
      <c r="F69" s="24"/>
      <c r="G69" s="24"/>
      <c r="H69" s="24"/>
      <c r="I69" s="24"/>
      <c r="J69" s="24"/>
      <c r="K69" s="25"/>
      <c r="L69" s="30"/>
      <c r="M69" s="30"/>
      <c r="N69" s="30"/>
      <c r="O69" s="15" t="str">
        <f>CONCATENATE("0x",DEC2HEX(HEX2DEC(MID($N$68,3,5))*4+2,6))</f>
        <v>0x000056</v>
      </c>
      <c r="P69" s="15" t="s">
        <v>111</v>
      </c>
      <c r="Q69" s="15" t="s">
        <v>42</v>
      </c>
      <c r="R69" s="30"/>
    </row>
    <row r="70" spans="1:18" ht="20.100000000000001" customHeight="1" x14ac:dyDescent="0.25">
      <c r="A70" s="30"/>
      <c r="B70" s="15" t="s">
        <v>118</v>
      </c>
      <c r="C70" s="30"/>
      <c r="D70" s="56" t="s">
        <v>324</v>
      </c>
      <c r="E70" s="24"/>
      <c r="F70" s="24"/>
      <c r="G70" s="24"/>
      <c r="H70" s="24"/>
      <c r="I70" s="24"/>
      <c r="J70" s="24"/>
      <c r="K70" s="25"/>
      <c r="L70" s="30"/>
      <c r="M70" s="30"/>
      <c r="N70" s="30"/>
      <c r="O70" s="15" t="str">
        <f>CONCATENATE("0x",DEC2HEX(HEX2DEC(MID($N$68,3,5))*4+1,6))</f>
        <v>0x000055</v>
      </c>
      <c r="P70" s="15" t="s">
        <v>111</v>
      </c>
      <c r="Q70" s="15" t="s">
        <v>42</v>
      </c>
      <c r="R70" s="30"/>
    </row>
    <row r="71" spans="1:18" ht="20.100000000000001" customHeight="1" x14ac:dyDescent="0.25">
      <c r="A71" s="31"/>
      <c r="B71" s="16" t="s">
        <v>118</v>
      </c>
      <c r="C71" s="31"/>
      <c r="D71" s="57" t="s">
        <v>325</v>
      </c>
      <c r="E71" s="47"/>
      <c r="F71" s="47"/>
      <c r="G71" s="47"/>
      <c r="H71" s="47"/>
      <c r="I71" s="47"/>
      <c r="J71" s="47"/>
      <c r="K71" s="48"/>
      <c r="L71" s="31"/>
      <c r="M71" s="31"/>
      <c r="N71" s="31"/>
      <c r="O71" s="16" t="str">
        <f>CONCATENATE("0x",DEC2HEX(HEX2DEC(MID($N$68,3,5))*4+0,6))</f>
        <v>0x000054</v>
      </c>
      <c r="P71" s="16" t="s">
        <v>111</v>
      </c>
      <c r="Q71" s="16" t="s">
        <v>42</v>
      </c>
      <c r="R71" s="31"/>
    </row>
    <row r="72" spans="1:18" ht="20.100000000000001" customHeight="1" x14ac:dyDescent="0.25">
      <c r="A72" s="51" t="s">
        <v>326</v>
      </c>
      <c r="B72" s="13" t="s">
        <v>49</v>
      </c>
      <c r="C72" s="51" t="s">
        <v>327</v>
      </c>
      <c r="D72" s="22"/>
      <c r="E72" s="22"/>
      <c r="F72" s="22"/>
      <c r="G72" s="22"/>
      <c r="H72" s="22"/>
      <c r="I72" s="22"/>
      <c r="J72" s="22"/>
      <c r="K72" s="22"/>
      <c r="L72" s="49" t="s">
        <v>328</v>
      </c>
      <c r="M72" s="49" t="s">
        <v>329</v>
      </c>
      <c r="N72" s="51" t="str">
        <f>CONCATENATE("0x",DEC2HEX(HEX2DEC(MID(Module_Address_Usage!$C$20,3,5))+HEX2DEC(MID($A72,3,5)),5))</f>
        <v>0x00016</v>
      </c>
      <c r="O72" s="13" t="str">
        <f>CONCATENATE("0x",DEC2HEX(HEX2DEC(MID($N$72,3,5))*4+3,6))</f>
        <v>0x00005B</v>
      </c>
      <c r="P72" s="13" t="s">
        <v>111</v>
      </c>
      <c r="Q72" s="13" t="s">
        <v>49</v>
      </c>
      <c r="R72" s="51" t="str">
        <f>CONCATENATE("0x",LEFT(DEC2HEX(HEX2DEC(MID(Module_Address_Usage!$C$18,3,8))+HEX2DEC(MID($N$72,3,5))*4+0,8),4),"_",RIGHT(DEC2HEX(HEX2DEC(MID(Module_Address_Usage!$C$18,3,8))+HEX2DEC(MID($N$72,3,5))*4+0,8),4))</f>
        <v>0x6000_0058</v>
      </c>
    </row>
    <row r="73" spans="1:18" ht="20.100000000000001" customHeight="1" x14ac:dyDescent="0.25">
      <c r="A73" s="30"/>
      <c r="B73" s="15" t="s">
        <v>49</v>
      </c>
      <c r="C73" s="30"/>
      <c r="D73" s="17"/>
      <c r="E73" s="17"/>
      <c r="F73" s="17"/>
      <c r="G73" s="17"/>
      <c r="H73" s="17"/>
      <c r="I73" s="17"/>
      <c r="J73" s="17"/>
      <c r="K73" s="17"/>
      <c r="L73" s="30"/>
      <c r="M73" s="30"/>
      <c r="N73" s="30"/>
      <c r="O73" s="15" t="str">
        <f>CONCATENATE("0x",DEC2HEX(HEX2DEC(MID($N$72,3,5))*4+2,6))</f>
        <v>0x00005A</v>
      </c>
      <c r="P73" s="15" t="s">
        <v>111</v>
      </c>
      <c r="Q73" s="15" t="s">
        <v>49</v>
      </c>
      <c r="R73" s="30"/>
    </row>
    <row r="74" spans="1:18" ht="20.100000000000001" customHeight="1" x14ac:dyDescent="0.25">
      <c r="A74" s="30"/>
      <c r="B74" s="15" t="s">
        <v>49</v>
      </c>
      <c r="C74" s="30"/>
      <c r="D74" s="17"/>
      <c r="E74" s="17"/>
      <c r="F74" s="17"/>
      <c r="G74" s="17"/>
      <c r="H74" s="17"/>
      <c r="I74" s="17"/>
      <c r="J74" s="17"/>
      <c r="K74" s="17"/>
      <c r="L74" s="30"/>
      <c r="M74" s="30"/>
      <c r="N74" s="30"/>
      <c r="O74" s="15" t="str">
        <f>CONCATENATE("0x",DEC2HEX(HEX2DEC(MID($N$72,3,5))*4+1,6))</f>
        <v>0x000059</v>
      </c>
      <c r="P74" s="15" t="s">
        <v>111</v>
      </c>
      <c r="Q74" s="15" t="s">
        <v>49</v>
      </c>
      <c r="R74" s="30"/>
    </row>
    <row r="75" spans="1:18" ht="20.100000000000001" customHeight="1" x14ac:dyDescent="0.25">
      <c r="A75" s="31"/>
      <c r="B75" s="16" t="s">
        <v>283</v>
      </c>
      <c r="C75" s="31"/>
      <c r="D75" s="18"/>
      <c r="E75" s="18"/>
      <c r="F75" s="18"/>
      <c r="G75" s="18"/>
      <c r="H75" s="18"/>
      <c r="I75" s="18"/>
      <c r="J75" s="18"/>
      <c r="K75" s="16" t="s">
        <v>284</v>
      </c>
      <c r="L75" s="31"/>
      <c r="M75" s="31"/>
      <c r="N75" s="31"/>
      <c r="O75" s="16" t="str">
        <f>CONCATENATE("0x",DEC2HEX(HEX2DEC(MID($N$72,3,5))*4+0,6))</f>
        <v>0x000058</v>
      </c>
      <c r="P75" s="16" t="s">
        <v>138</v>
      </c>
      <c r="Q75" s="16" t="s">
        <v>42</v>
      </c>
      <c r="R75" s="31"/>
    </row>
    <row r="76" spans="1:18" ht="27" customHeight="1" x14ac:dyDescent="0.25">
      <c r="A76" s="12" t="s">
        <v>330</v>
      </c>
      <c r="B76" s="12" t="s">
        <v>49</v>
      </c>
      <c r="C76" s="12" t="s">
        <v>47</v>
      </c>
      <c r="D76" s="55"/>
      <c r="E76" s="27"/>
      <c r="F76" s="27"/>
      <c r="G76" s="27"/>
      <c r="H76" s="27"/>
      <c r="I76" s="27"/>
      <c r="J76" s="27"/>
      <c r="K76" s="28"/>
      <c r="L76" s="14" t="s">
        <v>47</v>
      </c>
      <c r="M76" s="14" t="s">
        <v>120</v>
      </c>
      <c r="N76" s="12" t="str">
        <f>CONCATENATE("0x",DEC2HEX(HEX2DEC(MID(Module_Address_Usage!$C$20,3,5))+HEX2DEC(MID($A76,3,5)),5))&amp;CHAR(10)&amp;"~ "&amp;CONCATENATE("0x",DEC2HEX(HEX2DEC(MID(Module_Address_Usage!$C$20,3,5))+HEX2DEC(MID($A76,13,5)),5))</f>
        <v>0x00017
~ 0x00017</v>
      </c>
      <c r="O76" s="12" t="str">
        <f>CONCATENATE("0x",DEC2HEX(HEX2DEC(MID(CONCATENATE("0x",DEC2HEX(HEX2DEC(MID(Module_Address_Usage!$C$20,3,5))+HEX2DEC(MID($A76,3,5)),5)),3,5))*4+0,6))&amp;CHAR(10)&amp;"~ "&amp;CONCATENATE("0x",DEC2HEX(HEX2DEC(MID(CONCATENATE("0x",DEC2HEX(HEX2DEC(MID(Module_Address_Usage!$C$20,3,5))+HEX2DEC(MID($A76,13,5)),5)),3,5))*4+3,6))</f>
        <v>0x00005C
~ 0x00005F</v>
      </c>
      <c r="P76" s="12" t="s">
        <v>111</v>
      </c>
      <c r="Q76" s="12" t="s">
        <v>49</v>
      </c>
      <c r="R76" s="12" t="str">
        <f>CONCATENATE("0x",LEFT(DEC2HEX(HEX2DEC(MID(Module_Address_Usage!$C$18,3,8))+HEX2DEC(MID(CONCATENATE("0x",DEC2HEX(HEX2DEC(MID(Module_Address_Usage!$C$20,3,5))+HEX2DEC(MID($A76,3,5)),5)),3,5))*4+0,8),4),"_",RIGHT(DEC2HEX(HEX2DEC(MID(Module_Address_Usage!$C$18,3,8))+HEX2DEC(MID(CONCATENATE("0x",DEC2HEX(HEX2DEC(MID(Module_Address_Usage!$C$20,3,5))+HEX2DEC(MID($A76,3,5)),5)),3,5))*4+0,8),4))&amp;CHAR(10)&amp;"~ "&amp;CONCATENATE("0x",LEFT(DEC2HEX(HEX2DEC(MID(Module_Address_Usage!$C$18,3,8))+HEX2DEC(MID(CONCATENATE("0x",DEC2HEX(HEX2DEC(MID(Module_Address_Usage!$C$20,3,5))+HEX2DEC(MID($A76,13,5)),5)),3,5))*4+3,8),4),"_",RIGHT(DEC2HEX(HEX2DEC(MID(Module_Address_Usage!$C$18,3,8))+HEX2DEC(MID(CONCATENATE("0x",DEC2HEX(HEX2DEC(MID(Module_Address_Usage!$C$20,3,5))+HEX2DEC(MID($A76,13,5)),5)),3,5))*4+3,8),4))</f>
        <v>0x6000_005C
~ 0x6000_005F</v>
      </c>
    </row>
    <row r="77" spans="1:18" ht="20.100000000000001" customHeight="1" x14ac:dyDescent="0.25">
      <c r="A77" s="51" t="s">
        <v>331</v>
      </c>
      <c r="B77" s="13" t="s">
        <v>49</v>
      </c>
      <c r="C77" s="51" t="s">
        <v>332</v>
      </c>
      <c r="D77" s="22"/>
      <c r="E77" s="22"/>
      <c r="F77" s="22"/>
      <c r="G77" s="22"/>
      <c r="H77" s="22"/>
      <c r="I77" s="22"/>
      <c r="J77" s="22"/>
      <c r="K77" s="22"/>
      <c r="L77" s="49" t="s">
        <v>333</v>
      </c>
      <c r="M77" s="49" t="s">
        <v>334</v>
      </c>
      <c r="N77" s="51" t="str">
        <f>CONCATENATE("0x",DEC2HEX(HEX2DEC(MID(Module_Address_Usage!$C$20,3,5))+HEX2DEC(MID($A77,3,5)),5))</f>
        <v>0x00018</v>
      </c>
      <c r="O77" s="13" t="str">
        <f>CONCATENATE("0x",DEC2HEX(HEX2DEC(MID($N$77,3,5))*4+3,6))</f>
        <v>0x000063</v>
      </c>
      <c r="P77" s="13" t="s">
        <v>111</v>
      </c>
      <c r="Q77" s="13" t="s">
        <v>49</v>
      </c>
      <c r="R77" s="51" t="str">
        <f>CONCATENATE("0x",LEFT(DEC2HEX(HEX2DEC(MID(Module_Address_Usage!$C$18,3,8))+HEX2DEC(MID($N$77,3,5))*4+0,8),4),"_",RIGHT(DEC2HEX(HEX2DEC(MID(Module_Address_Usage!$C$18,3,8))+HEX2DEC(MID($N$77,3,5))*4+0,8),4))</f>
        <v>0x6000_0060</v>
      </c>
    </row>
    <row r="78" spans="1:18" ht="20.100000000000001" customHeight="1" x14ac:dyDescent="0.25">
      <c r="A78" s="30"/>
      <c r="B78" s="15" t="s">
        <v>49</v>
      </c>
      <c r="C78" s="30"/>
      <c r="D78" s="17"/>
      <c r="E78" s="17"/>
      <c r="F78" s="17"/>
      <c r="G78" s="17"/>
      <c r="H78" s="17"/>
      <c r="I78" s="17"/>
      <c r="J78" s="17"/>
      <c r="K78" s="17"/>
      <c r="L78" s="30"/>
      <c r="M78" s="30"/>
      <c r="N78" s="30"/>
      <c r="O78" s="15" t="str">
        <f>CONCATENATE("0x",DEC2HEX(HEX2DEC(MID($N$77,3,5))*4+2,6))</f>
        <v>0x000062</v>
      </c>
      <c r="P78" s="15" t="s">
        <v>111</v>
      </c>
      <c r="Q78" s="15" t="s">
        <v>49</v>
      </c>
      <c r="R78" s="30"/>
    </row>
    <row r="79" spans="1:18" ht="20.100000000000001" customHeight="1" x14ac:dyDescent="0.25">
      <c r="A79" s="30"/>
      <c r="B79" s="15" t="s">
        <v>112</v>
      </c>
      <c r="C79" s="30"/>
      <c r="D79" s="17"/>
      <c r="E79" s="17"/>
      <c r="F79" s="17"/>
      <c r="G79" s="17"/>
      <c r="H79" s="56" t="s">
        <v>335</v>
      </c>
      <c r="I79" s="24"/>
      <c r="J79" s="24"/>
      <c r="K79" s="25"/>
      <c r="L79" s="30"/>
      <c r="M79" s="30"/>
      <c r="N79" s="30"/>
      <c r="O79" s="15" t="str">
        <f>CONCATENATE("0x",DEC2HEX(HEX2DEC(MID($N$77,3,5))*4+1,6))</f>
        <v>0x000061</v>
      </c>
      <c r="P79" s="15" t="s">
        <v>138</v>
      </c>
      <c r="Q79" s="15" t="s">
        <v>42</v>
      </c>
      <c r="R79" s="30"/>
    </row>
    <row r="80" spans="1:18" ht="20.100000000000001" customHeight="1" x14ac:dyDescent="0.25">
      <c r="A80" s="31"/>
      <c r="B80" s="16" t="s">
        <v>112</v>
      </c>
      <c r="C80" s="31"/>
      <c r="D80" s="18"/>
      <c r="E80" s="18"/>
      <c r="F80" s="18"/>
      <c r="G80" s="18"/>
      <c r="H80" s="16" t="s">
        <v>336</v>
      </c>
      <c r="I80" s="16" t="s">
        <v>337</v>
      </c>
      <c r="J80" s="16" t="s">
        <v>338</v>
      </c>
      <c r="K80" s="16" t="s">
        <v>339</v>
      </c>
      <c r="L80" s="31"/>
      <c r="M80" s="31"/>
      <c r="N80" s="31"/>
      <c r="O80" s="16" t="str">
        <f>CONCATENATE("0x",DEC2HEX(HEX2DEC(MID($N$77,3,5))*4+0,6))</f>
        <v>0x000060</v>
      </c>
      <c r="P80" s="16" t="s">
        <v>138</v>
      </c>
      <c r="Q80" s="16" t="s">
        <v>42</v>
      </c>
      <c r="R80" s="31"/>
    </row>
    <row r="81" spans="1:18" ht="20.100000000000001" customHeight="1" x14ac:dyDescent="0.25">
      <c r="A81" s="51" t="s">
        <v>340</v>
      </c>
      <c r="B81" s="13" t="s">
        <v>49</v>
      </c>
      <c r="C81" s="51" t="s">
        <v>341</v>
      </c>
      <c r="D81" s="22"/>
      <c r="E81" s="22"/>
      <c r="F81" s="22"/>
      <c r="G81" s="22"/>
      <c r="H81" s="22"/>
      <c r="I81" s="22"/>
      <c r="J81" s="22"/>
      <c r="K81" s="22"/>
      <c r="L81" s="49" t="s">
        <v>342</v>
      </c>
      <c r="M81" s="49" t="s">
        <v>343</v>
      </c>
      <c r="N81" s="51" t="str">
        <f>CONCATENATE("0x",DEC2HEX(HEX2DEC(MID(Module_Address_Usage!$C$20,3,5))+HEX2DEC(MID($A81,3,5)),5))</f>
        <v>0x00019</v>
      </c>
      <c r="O81" s="13" t="str">
        <f>CONCATENATE("0x",DEC2HEX(HEX2DEC(MID($N$81,3,5))*4+3,6))</f>
        <v>0x000067</v>
      </c>
      <c r="P81" s="13" t="s">
        <v>111</v>
      </c>
      <c r="Q81" s="13" t="s">
        <v>49</v>
      </c>
      <c r="R81" s="51" t="str">
        <f>CONCATENATE("0x",LEFT(DEC2HEX(HEX2DEC(MID(Module_Address_Usage!$C$18,3,8))+HEX2DEC(MID($N$81,3,5))*4+0,8),4),"_",RIGHT(DEC2HEX(HEX2DEC(MID(Module_Address_Usage!$C$18,3,8))+HEX2DEC(MID($N$81,3,5))*4+0,8),4))</f>
        <v>0x6000_0064</v>
      </c>
    </row>
    <row r="82" spans="1:18" ht="20.100000000000001" customHeight="1" x14ac:dyDescent="0.25">
      <c r="A82" s="30"/>
      <c r="B82" s="15" t="s">
        <v>49</v>
      </c>
      <c r="C82" s="30"/>
      <c r="D82" s="17"/>
      <c r="E82" s="17"/>
      <c r="F82" s="17"/>
      <c r="G82" s="17"/>
      <c r="H82" s="17"/>
      <c r="I82" s="17"/>
      <c r="J82" s="17"/>
      <c r="K82" s="17"/>
      <c r="L82" s="30"/>
      <c r="M82" s="30"/>
      <c r="N82" s="30"/>
      <c r="O82" s="15" t="str">
        <f>CONCATENATE("0x",DEC2HEX(HEX2DEC(MID($N$81,3,5))*4+2,6))</f>
        <v>0x000066</v>
      </c>
      <c r="P82" s="15" t="s">
        <v>111</v>
      </c>
      <c r="Q82" s="15" t="s">
        <v>49</v>
      </c>
      <c r="R82" s="30"/>
    </row>
    <row r="83" spans="1:18" ht="20.100000000000001" customHeight="1" x14ac:dyDescent="0.25">
      <c r="A83" s="30"/>
      <c r="B83" s="15" t="s">
        <v>118</v>
      </c>
      <c r="C83" s="30"/>
      <c r="D83" s="17"/>
      <c r="E83" s="17"/>
      <c r="F83" s="17"/>
      <c r="G83" s="17"/>
      <c r="H83" s="17"/>
      <c r="I83" s="17"/>
      <c r="J83" s="56" t="s">
        <v>344</v>
      </c>
      <c r="K83" s="25"/>
      <c r="L83" s="30"/>
      <c r="M83" s="30"/>
      <c r="N83" s="30"/>
      <c r="O83" s="15" t="str">
        <f>CONCATENATE("0x",DEC2HEX(HEX2DEC(MID($N$81,3,5))*4+1,6))</f>
        <v>0x000065</v>
      </c>
      <c r="P83" s="15" t="s">
        <v>111</v>
      </c>
      <c r="Q83" s="15" t="s">
        <v>42</v>
      </c>
      <c r="R83" s="30"/>
    </row>
    <row r="84" spans="1:18" ht="20.100000000000001" customHeight="1" x14ac:dyDescent="0.25">
      <c r="A84" s="31"/>
      <c r="B84" s="16" t="s">
        <v>118</v>
      </c>
      <c r="C84" s="31"/>
      <c r="D84" s="16" t="s">
        <v>345</v>
      </c>
      <c r="E84" s="57" t="s">
        <v>346</v>
      </c>
      <c r="F84" s="48"/>
      <c r="G84" s="16" t="s">
        <v>347</v>
      </c>
      <c r="H84" s="16" t="s">
        <v>348</v>
      </c>
      <c r="I84" s="16" t="s">
        <v>259</v>
      </c>
      <c r="J84" s="16" t="s">
        <v>260</v>
      </c>
      <c r="K84" s="16" t="s">
        <v>261</v>
      </c>
      <c r="L84" s="31"/>
      <c r="M84" s="31"/>
      <c r="N84" s="31"/>
      <c r="O84" s="16" t="str">
        <f>CONCATENATE("0x",DEC2HEX(HEX2DEC(MID($N$81,3,5))*4+0,6))</f>
        <v>0x000064</v>
      </c>
      <c r="P84" s="16" t="s">
        <v>111</v>
      </c>
      <c r="Q84" s="16" t="s">
        <v>42</v>
      </c>
      <c r="R84" s="31"/>
    </row>
    <row r="85" spans="1:18" ht="20.100000000000001" customHeight="1" x14ac:dyDescent="0.25">
      <c r="A85" s="51" t="s">
        <v>349</v>
      </c>
      <c r="B85" s="13" t="s">
        <v>49</v>
      </c>
      <c r="C85" s="51" t="s">
        <v>350</v>
      </c>
      <c r="D85" s="22"/>
      <c r="E85" s="22"/>
      <c r="F85" s="22"/>
      <c r="G85" s="22"/>
      <c r="H85" s="22"/>
      <c r="I85" s="22"/>
      <c r="J85" s="22"/>
      <c r="K85" s="22"/>
      <c r="L85" s="49" t="s">
        <v>351</v>
      </c>
      <c r="M85" s="49" t="s">
        <v>352</v>
      </c>
      <c r="N85" s="51" t="str">
        <f>CONCATENATE("0x",DEC2HEX(HEX2DEC(MID(Module_Address_Usage!$C$20,3,5))+HEX2DEC(MID($A85,3,5)),5))</f>
        <v>0x0001A</v>
      </c>
      <c r="O85" s="13" t="str">
        <f>CONCATENATE("0x",DEC2HEX(HEX2DEC(MID($N$85,3,5))*4+3,6))</f>
        <v>0x00006B</v>
      </c>
      <c r="P85" s="13" t="s">
        <v>111</v>
      </c>
      <c r="Q85" s="13" t="s">
        <v>49</v>
      </c>
      <c r="R85" s="51" t="str">
        <f>CONCATENATE("0x",LEFT(DEC2HEX(HEX2DEC(MID(Module_Address_Usage!$C$18,3,8))+HEX2DEC(MID($N$85,3,5))*4+0,8),4),"_",RIGHT(DEC2HEX(HEX2DEC(MID(Module_Address_Usage!$C$18,3,8))+HEX2DEC(MID($N$85,3,5))*4+0,8),4))</f>
        <v>0x6000_0068</v>
      </c>
    </row>
    <row r="86" spans="1:18" ht="20.100000000000001" customHeight="1" x14ac:dyDescent="0.25">
      <c r="A86" s="30"/>
      <c r="B86" s="15" t="s">
        <v>49</v>
      </c>
      <c r="C86" s="30"/>
      <c r="D86" s="17"/>
      <c r="E86" s="17"/>
      <c r="F86" s="17"/>
      <c r="G86" s="17"/>
      <c r="H86" s="17"/>
      <c r="I86" s="17"/>
      <c r="J86" s="17"/>
      <c r="K86" s="17"/>
      <c r="L86" s="30"/>
      <c r="M86" s="30"/>
      <c r="N86" s="30"/>
      <c r="O86" s="15" t="str">
        <f>CONCATENATE("0x",DEC2HEX(HEX2DEC(MID($N$85,3,5))*4+2,6))</f>
        <v>0x00006A</v>
      </c>
      <c r="P86" s="15" t="s">
        <v>111</v>
      </c>
      <c r="Q86" s="15" t="s">
        <v>49</v>
      </c>
      <c r="R86" s="30"/>
    </row>
    <row r="87" spans="1:18" ht="20.100000000000001" customHeight="1" x14ac:dyDescent="0.25">
      <c r="A87" s="30"/>
      <c r="B87" s="15" t="s">
        <v>49</v>
      </c>
      <c r="C87" s="30"/>
      <c r="D87" s="17"/>
      <c r="E87" s="17"/>
      <c r="F87" s="17"/>
      <c r="G87" s="17"/>
      <c r="H87" s="17"/>
      <c r="I87" s="17"/>
      <c r="J87" s="17"/>
      <c r="K87" s="17"/>
      <c r="L87" s="30"/>
      <c r="M87" s="30"/>
      <c r="N87" s="30"/>
      <c r="O87" s="15" t="str">
        <f>CONCATENATE("0x",DEC2HEX(HEX2DEC(MID($N$85,3,5))*4+1,6))</f>
        <v>0x000069</v>
      </c>
      <c r="P87" s="15" t="s">
        <v>111</v>
      </c>
      <c r="Q87" s="15" t="s">
        <v>49</v>
      </c>
      <c r="R87" s="30"/>
    </row>
    <row r="88" spans="1:18" ht="20.100000000000001" customHeight="1" x14ac:dyDescent="0.25">
      <c r="A88" s="31"/>
      <c r="B88" s="16" t="s">
        <v>112</v>
      </c>
      <c r="C88" s="31"/>
      <c r="D88" s="18"/>
      <c r="E88" s="18"/>
      <c r="F88" s="18"/>
      <c r="G88" s="18"/>
      <c r="H88" s="18"/>
      <c r="I88" s="16" t="s">
        <v>353</v>
      </c>
      <c r="J88" s="16" t="s">
        <v>354</v>
      </c>
      <c r="K88" s="16" t="s">
        <v>355</v>
      </c>
      <c r="L88" s="31"/>
      <c r="M88" s="31"/>
      <c r="N88" s="31"/>
      <c r="O88" s="16" t="str">
        <f>CONCATENATE("0x",DEC2HEX(HEX2DEC(MID($N$85,3,5))*4+0,6))</f>
        <v>0x000068</v>
      </c>
      <c r="P88" s="16" t="s">
        <v>138</v>
      </c>
      <c r="Q88" s="16" t="s">
        <v>42</v>
      </c>
      <c r="R88" s="31"/>
    </row>
    <row r="89" spans="1:18" ht="20.100000000000001" customHeight="1" x14ac:dyDescent="0.25">
      <c r="A89" s="51" t="s">
        <v>356</v>
      </c>
      <c r="B89" s="13" t="s">
        <v>49</v>
      </c>
      <c r="C89" s="51" t="s">
        <v>357</v>
      </c>
      <c r="D89" s="22"/>
      <c r="E89" s="22"/>
      <c r="F89" s="22"/>
      <c r="G89" s="22"/>
      <c r="H89" s="22"/>
      <c r="I89" s="22"/>
      <c r="J89" s="22"/>
      <c r="K89" s="22"/>
      <c r="L89" s="49" t="s">
        <v>358</v>
      </c>
      <c r="M89" s="49" t="s">
        <v>359</v>
      </c>
      <c r="N89" s="51" t="str">
        <f>CONCATENATE("0x",DEC2HEX(HEX2DEC(MID(Module_Address_Usage!$C$20,3,5))+HEX2DEC(MID($A89,3,5)),5))</f>
        <v>0x0001B</v>
      </c>
      <c r="O89" s="13" t="str">
        <f>CONCATENATE("0x",DEC2HEX(HEX2DEC(MID($N$89,3,5))*4+3,6))</f>
        <v>0x00006F</v>
      </c>
      <c r="P89" s="13" t="s">
        <v>111</v>
      </c>
      <c r="Q89" s="13" t="s">
        <v>49</v>
      </c>
      <c r="R89" s="51" t="str">
        <f>CONCATENATE("0x",LEFT(DEC2HEX(HEX2DEC(MID(Module_Address_Usage!$C$18,3,8))+HEX2DEC(MID($N$89,3,5))*4+0,8),4),"_",RIGHT(DEC2HEX(HEX2DEC(MID(Module_Address_Usage!$C$18,3,8))+HEX2DEC(MID($N$89,3,5))*4+0,8),4))</f>
        <v>0x6000_006C</v>
      </c>
    </row>
    <row r="90" spans="1:18" ht="20.100000000000001" customHeight="1" x14ac:dyDescent="0.25">
      <c r="A90" s="30"/>
      <c r="B90" s="15" t="s">
        <v>49</v>
      </c>
      <c r="C90" s="30"/>
      <c r="D90" s="17"/>
      <c r="E90" s="17"/>
      <c r="F90" s="17"/>
      <c r="G90" s="17"/>
      <c r="H90" s="17"/>
      <c r="I90" s="17"/>
      <c r="J90" s="17"/>
      <c r="K90" s="17"/>
      <c r="L90" s="30"/>
      <c r="M90" s="30"/>
      <c r="N90" s="30"/>
      <c r="O90" s="15" t="str">
        <f>CONCATENATE("0x",DEC2HEX(HEX2DEC(MID($N$89,3,5))*4+2,6))</f>
        <v>0x00006E</v>
      </c>
      <c r="P90" s="15" t="s">
        <v>111</v>
      </c>
      <c r="Q90" s="15" t="s">
        <v>49</v>
      </c>
      <c r="R90" s="30"/>
    </row>
    <row r="91" spans="1:18" ht="20.100000000000001" customHeight="1" x14ac:dyDescent="0.25">
      <c r="A91" s="30"/>
      <c r="B91" s="15" t="s">
        <v>49</v>
      </c>
      <c r="C91" s="30"/>
      <c r="D91" s="17"/>
      <c r="E91" s="17"/>
      <c r="F91" s="17"/>
      <c r="G91" s="17"/>
      <c r="H91" s="17"/>
      <c r="I91" s="17"/>
      <c r="J91" s="17"/>
      <c r="K91" s="17"/>
      <c r="L91" s="30"/>
      <c r="M91" s="30"/>
      <c r="N91" s="30"/>
      <c r="O91" s="15" t="str">
        <f>CONCATENATE("0x",DEC2HEX(HEX2DEC(MID($N$89,3,5))*4+1,6))</f>
        <v>0x00006D</v>
      </c>
      <c r="P91" s="15" t="s">
        <v>111</v>
      </c>
      <c r="Q91" s="15" t="s">
        <v>49</v>
      </c>
      <c r="R91" s="30"/>
    </row>
    <row r="92" spans="1:18" ht="20.100000000000001" customHeight="1" x14ac:dyDescent="0.25">
      <c r="A92" s="31"/>
      <c r="B92" s="16" t="s">
        <v>118</v>
      </c>
      <c r="C92" s="31"/>
      <c r="D92" s="18"/>
      <c r="E92" s="18"/>
      <c r="F92" s="18"/>
      <c r="G92" s="18"/>
      <c r="H92" s="18"/>
      <c r="I92" s="18"/>
      <c r="J92" s="16" t="s">
        <v>360</v>
      </c>
      <c r="K92" s="16" t="s">
        <v>361</v>
      </c>
      <c r="L92" s="31"/>
      <c r="M92" s="31"/>
      <c r="N92" s="31"/>
      <c r="O92" s="16" t="str">
        <f>CONCATENATE("0x",DEC2HEX(HEX2DEC(MID($N$89,3,5))*4+0,6))</f>
        <v>0x00006C</v>
      </c>
      <c r="P92" s="16" t="s">
        <v>111</v>
      </c>
      <c r="Q92" s="16" t="s">
        <v>42</v>
      </c>
      <c r="R92" s="31"/>
    </row>
    <row r="93" spans="1:18" ht="20.100000000000001" customHeight="1" x14ac:dyDescent="0.25">
      <c r="A93" s="51" t="s">
        <v>362</v>
      </c>
      <c r="B93" s="13" t="s">
        <v>49</v>
      </c>
      <c r="C93" s="51" t="s">
        <v>363</v>
      </c>
      <c r="D93" s="22"/>
      <c r="E93" s="22"/>
      <c r="F93" s="22"/>
      <c r="G93" s="22"/>
      <c r="H93" s="22"/>
      <c r="I93" s="22"/>
      <c r="J93" s="22"/>
      <c r="K93" s="22"/>
      <c r="L93" s="49" t="s">
        <v>364</v>
      </c>
      <c r="M93" s="49" t="s">
        <v>266</v>
      </c>
      <c r="N93" s="51" t="str">
        <f>CONCATENATE("0x",DEC2HEX(HEX2DEC(MID(Module_Address_Usage!$C$20,3,5))+HEX2DEC(MID($A93,3,5)),5))</f>
        <v>0x0001C</v>
      </c>
      <c r="O93" s="13" t="str">
        <f>CONCATENATE("0x",DEC2HEX(HEX2DEC(MID($N$93,3,5))*4+3,6))</f>
        <v>0x000073</v>
      </c>
      <c r="P93" s="13" t="s">
        <v>111</v>
      </c>
      <c r="Q93" s="13" t="s">
        <v>49</v>
      </c>
      <c r="R93" s="51" t="str">
        <f>CONCATENATE("0x",LEFT(DEC2HEX(HEX2DEC(MID(Module_Address_Usage!$C$18,3,8))+HEX2DEC(MID($N$93,3,5))*4+0,8),4),"_",RIGHT(DEC2HEX(HEX2DEC(MID(Module_Address_Usage!$C$18,3,8))+HEX2DEC(MID($N$93,3,5))*4+0,8),4))</f>
        <v>0x6000_0070</v>
      </c>
    </row>
    <row r="94" spans="1:18" ht="20.100000000000001" customHeight="1" x14ac:dyDescent="0.25">
      <c r="A94" s="30"/>
      <c r="B94" s="15" t="s">
        <v>49</v>
      </c>
      <c r="C94" s="30"/>
      <c r="D94" s="17"/>
      <c r="E94" s="17"/>
      <c r="F94" s="17"/>
      <c r="G94" s="17"/>
      <c r="H94" s="17"/>
      <c r="I94" s="17"/>
      <c r="J94" s="17"/>
      <c r="K94" s="17"/>
      <c r="L94" s="30"/>
      <c r="M94" s="30"/>
      <c r="N94" s="30"/>
      <c r="O94" s="15" t="str">
        <f>CONCATENATE("0x",DEC2HEX(HEX2DEC(MID($N$93,3,5))*4+2,6))</f>
        <v>0x000072</v>
      </c>
      <c r="P94" s="15" t="s">
        <v>111</v>
      </c>
      <c r="Q94" s="15" t="s">
        <v>49</v>
      </c>
      <c r="R94" s="30"/>
    </row>
    <row r="95" spans="1:18" ht="20.100000000000001" customHeight="1" x14ac:dyDescent="0.25">
      <c r="A95" s="30"/>
      <c r="B95" s="15" t="s">
        <v>49</v>
      </c>
      <c r="C95" s="30"/>
      <c r="D95" s="17"/>
      <c r="E95" s="17"/>
      <c r="F95" s="17"/>
      <c r="G95" s="17"/>
      <c r="H95" s="17"/>
      <c r="I95" s="17"/>
      <c r="J95" s="17"/>
      <c r="K95" s="17"/>
      <c r="L95" s="30"/>
      <c r="M95" s="30"/>
      <c r="N95" s="30"/>
      <c r="O95" s="15" t="str">
        <f>CONCATENATE("0x",DEC2HEX(HEX2DEC(MID($N$93,3,5))*4+1,6))</f>
        <v>0x000071</v>
      </c>
      <c r="P95" s="15" t="s">
        <v>111</v>
      </c>
      <c r="Q95" s="15" t="s">
        <v>49</v>
      </c>
      <c r="R95" s="30"/>
    </row>
    <row r="96" spans="1:18" ht="20.100000000000001" customHeight="1" x14ac:dyDescent="0.25">
      <c r="A96" s="31"/>
      <c r="B96" s="16" t="s">
        <v>112</v>
      </c>
      <c r="C96" s="31"/>
      <c r="D96" s="18"/>
      <c r="E96" s="16" t="s">
        <v>365</v>
      </c>
      <c r="F96" s="16" t="s">
        <v>366</v>
      </c>
      <c r="G96" s="16" t="s">
        <v>367</v>
      </c>
      <c r="H96" s="16" t="s">
        <v>368</v>
      </c>
      <c r="I96" s="16" t="s">
        <v>268</v>
      </c>
      <c r="J96" s="16" t="s">
        <v>369</v>
      </c>
      <c r="K96" s="16" t="s">
        <v>270</v>
      </c>
      <c r="L96" s="31"/>
      <c r="M96" s="31"/>
      <c r="N96" s="31"/>
      <c r="O96" s="16" t="str">
        <f>CONCATENATE("0x",DEC2HEX(HEX2DEC(MID($N$93,3,5))*4+0,6))</f>
        <v>0x000070</v>
      </c>
      <c r="P96" s="16" t="s">
        <v>138</v>
      </c>
      <c r="Q96" s="16" t="s">
        <v>42</v>
      </c>
      <c r="R96" s="31"/>
    </row>
    <row r="97" spans="1:18" ht="20.100000000000001" customHeight="1" x14ac:dyDescent="0.25">
      <c r="A97" s="51" t="s">
        <v>370</v>
      </c>
      <c r="B97" s="13" t="s">
        <v>49</v>
      </c>
      <c r="C97" s="51" t="s">
        <v>371</v>
      </c>
      <c r="D97" s="22"/>
      <c r="E97" s="22"/>
      <c r="F97" s="22"/>
      <c r="G97" s="22"/>
      <c r="H97" s="22"/>
      <c r="I97" s="22"/>
      <c r="J97" s="22"/>
      <c r="K97" s="22"/>
      <c r="L97" s="49" t="s">
        <v>372</v>
      </c>
      <c r="M97" s="49" t="s">
        <v>274</v>
      </c>
      <c r="N97" s="51" t="str">
        <f>CONCATENATE("0x",DEC2HEX(HEX2DEC(MID(Module_Address_Usage!$C$20,3,5))+HEX2DEC(MID($A97,3,5)),5))</f>
        <v>0x0001D</v>
      </c>
      <c r="O97" s="13" t="str">
        <f>CONCATENATE("0x",DEC2HEX(HEX2DEC(MID($N$97,3,5))*4+3,6))</f>
        <v>0x000077</v>
      </c>
      <c r="P97" s="13" t="s">
        <v>111</v>
      </c>
      <c r="Q97" s="13" t="s">
        <v>49</v>
      </c>
      <c r="R97" s="51" t="str">
        <f>CONCATENATE("0x",LEFT(DEC2HEX(HEX2DEC(MID(Module_Address_Usage!$C$18,3,8))+HEX2DEC(MID($N$97,3,5))*4+0,8),4),"_",RIGHT(DEC2HEX(HEX2DEC(MID(Module_Address_Usage!$C$18,3,8))+HEX2DEC(MID($N$97,3,5))*4+0,8),4))</f>
        <v>0x6000_0074</v>
      </c>
    </row>
    <row r="98" spans="1:18" ht="20.100000000000001" customHeight="1" x14ac:dyDescent="0.25">
      <c r="A98" s="30"/>
      <c r="B98" s="15" t="s">
        <v>49</v>
      </c>
      <c r="C98" s="30"/>
      <c r="D98" s="17"/>
      <c r="E98" s="17"/>
      <c r="F98" s="17"/>
      <c r="G98" s="17"/>
      <c r="H98" s="17"/>
      <c r="I98" s="17"/>
      <c r="J98" s="17"/>
      <c r="K98" s="17"/>
      <c r="L98" s="30"/>
      <c r="M98" s="30"/>
      <c r="N98" s="30"/>
      <c r="O98" s="15" t="str">
        <f>CONCATENATE("0x",DEC2HEX(HEX2DEC(MID($N$97,3,5))*4+2,6))</f>
        <v>0x000076</v>
      </c>
      <c r="P98" s="15" t="s">
        <v>111</v>
      </c>
      <c r="Q98" s="15" t="s">
        <v>49</v>
      </c>
      <c r="R98" s="30"/>
    </row>
    <row r="99" spans="1:18" ht="20.100000000000001" customHeight="1" x14ac:dyDescent="0.25">
      <c r="A99" s="30"/>
      <c r="B99" s="15" t="s">
        <v>49</v>
      </c>
      <c r="C99" s="30"/>
      <c r="D99" s="17"/>
      <c r="E99" s="17"/>
      <c r="F99" s="17"/>
      <c r="G99" s="17"/>
      <c r="H99" s="17"/>
      <c r="I99" s="17"/>
      <c r="J99" s="17"/>
      <c r="K99" s="17"/>
      <c r="L99" s="30"/>
      <c r="M99" s="30"/>
      <c r="N99" s="30"/>
      <c r="O99" s="15" t="str">
        <f>CONCATENATE("0x",DEC2HEX(HEX2DEC(MID($N$97,3,5))*4+1,6))</f>
        <v>0x000075</v>
      </c>
      <c r="P99" s="15" t="s">
        <v>111</v>
      </c>
      <c r="Q99" s="15" t="s">
        <v>49</v>
      </c>
      <c r="R99" s="30"/>
    </row>
    <row r="100" spans="1:18" ht="20.100000000000001" customHeight="1" x14ac:dyDescent="0.25">
      <c r="A100" s="31"/>
      <c r="B100" s="16" t="s">
        <v>112</v>
      </c>
      <c r="C100" s="31"/>
      <c r="D100" s="18"/>
      <c r="E100" s="16" t="s">
        <v>373</v>
      </c>
      <c r="F100" s="16" t="s">
        <v>374</v>
      </c>
      <c r="G100" s="16" t="s">
        <v>375</v>
      </c>
      <c r="H100" s="16" t="s">
        <v>376</v>
      </c>
      <c r="I100" s="16" t="s">
        <v>276</v>
      </c>
      <c r="J100" s="16" t="s">
        <v>377</v>
      </c>
      <c r="K100" s="16" t="s">
        <v>278</v>
      </c>
      <c r="L100" s="31"/>
      <c r="M100" s="31"/>
      <c r="N100" s="31"/>
      <c r="O100" s="16" t="str">
        <f>CONCATENATE("0x",DEC2HEX(HEX2DEC(MID($N$97,3,5))*4+0,6))</f>
        <v>0x000074</v>
      </c>
      <c r="P100" s="16" t="s">
        <v>138</v>
      </c>
      <c r="Q100" s="16" t="s">
        <v>42</v>
      </c>
      <c r="R100" s="31"/>
    </row>
    <row r="101" spans="1:18" ht="20.100000000000001" customHeight="1" x14ac:dyDescent="0.25">
      <c r="A101" s="51" t="s">
        <v>378</v>
      </c>
      <c r="B101" s="13" t="s">
        <v>49</v>
      </c>
      <c r="C101" s="51" t="s">
        <v>379</v>
      </c>
      <c r="D101" s="22"/>
      <c r="E101" s="22"/>
      <c r="F101" s="22"/>
      <c r="G101" s="22"/>
      <c r="H101" s="22"/>
      <c r="I101" s="22"/>
      <c r="J101" s="22"/>
      <c r="K101" s="22"/>
      <c r="L101" s="49" t="s">
        <v>380</v>
      </c>
      <c r="M101" s="49" t="s">
        <v>282</v>
      </c>
      <c r="N101" s="51" t="str">
        <f>CONCATENATE("0x",DEC2HEX(HEX2DEC(MID(Module_Address_Usage!$C$20,3,5))+HEX2DEC(MID($A101,3,5)),5))</f>
        <v>0x0001E</v>
      </c>
      <c r="O101" s="13" t="str">
        <f>CONCATENATE("0x",DEC2HEX(HEX2DEC(MID($N$101,3,5))*4+3,6))</f>
        <v>0x00007B</v>
      </c>
      <c r="P101" s="13" t="s">
        <v>111</v>
      </c>
      <c r="Q101" s="13" t="s">
        <v>49</v>
      </c>
      <c r="R101" s="51" t="str">
        <f>CONCATENATE("0x",LEFT(DEC2HEX(HEX2DEC(MID(Module_Address_Usage!$C$18,3,8))+HEX2DEC(MID($N$101,3,5))*4+0,8),4),"_",RIGHT(DEC2HEX(HEX2DEC(MID(Module_Address_Usage!$C$18,3,8))+HEX2DEC(MID($N$101,3,5))*4+0,8),4))</f>
        <v>0x6000_0078</v>
      </c>
    </row>
    <row r="102" spans="1:18" ht="20.100000000000001" customHeight="1" x14ac:dyDescent="0.25">
      <c r="A102" s="30"/>
      <c r="B102" s="15" t="s">
        <v>49</v>
      </c>
      <c r="C102" s="30"/>
      <c r="D102" s="17"/>
      <c r="E102" s="17"/>
      <c r="F102" s="17"/>
      <c r="G102" s="17"/>
      <c r="H102" s="17"/>
      <c r="I102" s="17"/>
      <c r="J102" s="17"/>
      <c r="K102" s="17"/>
      <c r="L102" s="30"/>
      <c r="M102" s="30"/>
      <c r="N102" s="30"/>
      <c r="O102" s="15" t="str">
        <f>CONCATENATE("0x",DEC2HEX(HEX2DEC(MID($N$101,3,5))*4+2,6))</f>
        <v>0x00007A</v>
      </c>
      <c r="P102" s="15" t="s">
        <v>111</v>
      </c>
      <c r="Q102" s="15" t="s">
        <v>49</v>
      </c>
      <c r="R102" s="30"/>
    </row>
    <row r="103" spans="1:18" ht="20.100000000000001" customHeight="1" x14ac:dyDescent="0.25">
      <c r="A103" s="30"/>
      <c r="B103" s="15" t="s">
        <v>49</v>
      </c>
      <c r="C103" s="30"/>
      <c r="D103" s="17"/>
      <c r="E103" s="17"/>
      <c r="F103" s="17"/>
      <c r="G103" s="17"/>
      <c r="H103" s="17"/>
      <c r="I103" s="17"/>
      <c r="J103" s="17"/>
      <c r="K103" s="17"/>
      <c r="L103" s="30"/>
      <c r="M103" s="30"/>
      <c r="N103" s="30"/>
      <c r="O103" s="15" t="str">
        <f>CONCATENATE("0x",DEC2HEX(HEX2DEC(MID($N$101,3,5))*4+1,6))</f>
        <v>0x000079</v>
      </c>
      <c r="P103" s="15" t="s">
        <v>111</v>
      </c>
      <c r="Q103" s="15" t="s">
        <v>49</v>
      </c>
      <c r="R103" s="30"/>
    </row>
    <row r="104" spans="1:18" ht="20.100000000000001" customHeight="1" x14ac:dyDescent="0.25">
      <c r="A104" s="31"/>
      <c r="B104" s="16" t="s">
        <v>283</v>
      </c>
      <c r="C104" s="31"/>
      <c r="D104" s="18"/>
      <c r="E104" s="18"/>
      <c r="F104" s="18"/>
      <c r="G104" s="18"/>
      <c r="H104" s="18"/>
      <c r="I104" s="18"/>
      <c r="J104" s="18"/>
      <c r="K104" s="16" t="s">
        <v>284</v>
      </c>
      <c r="L104" s="31"/>
      <c r="M104" s="31"/>
      <c r="N104" s="31"/>
      <c r="O104" s="16" t="str">
        <f>CONCATENATE("0x",DEC2HEX(HEX2DEC(MID($N$101,3,5))*4+0,6))</f>
        <v>0x000078</v>
      </c>
      <c r="P104" s="16" t="s">
        <v>138</v>
      </c>
      <c r="Q104" s="16" t="s">
        <v>42</v>
      </c>
      <c r="R104" s="31"/>
    </row>
    <row r="105" spans="1:18" ht="20.100000000000001" customHeight="1" x14ac:dyDescent="0.25">
      <c r="A105" s="51" t="s">
        <v>381</v>
      </c>
      <c r="B105" s="13" t="s">
        <v>49</v>
      </c>
      <c r="C105" s="51" t="s">
        <v>382</v>
      </c>
      <c r="D105" s="22"/>
      <c r="E105" s="22"/>
      <c r="F105" s="22"/>
      <c r="G105" s="22"/>
      <c r="H105" s="22"/>
      <c r="I105" s="22"/>
      <c r="J105" s="22"/>
      <c r="K105" s="22"/>
      <c r="L105" s="49" t="s">
        <v>383</v>
      </c>
      <c r="M105" s="49" t="s">
        <v>384</v>
      </c>
      <c r="N105" s="51" t="str">
        <f>CONCATENATE("0x",DEC2HEX(HEX2DEC(MID(Module_Address_Usage!$C$20,3,5))+HEX2DEC(MID($A105,3,5)),5))</f>
        <v>0x0001F</v>
      </c>
      <c r="O105" s="13" t="str">
        <f>CONCATENATE("0x",DEC2HEX(HEX2DEC(MID($N$105,3,5))*4+3,6))</f>
        <v>0x00007F</v>
      </c>
      <c r="P105" s="13" t="s">
        <v>111</v>
      </c>
      <c r="Q105" s="13" t="s">
        <v>49</v>
      </c>
      <c r="R105" s="51" t="str">
        <f>CONCATENATE("0x",LEFT(DEC2HEX(HEX2DEC(MID(Module_Address_Usage!$C$18,3,8))+HEX2DEC(MID($N$105,3,5))*4+0,8),4),"_",RIGHT(DEC2HEX(HEX2DEC(MID(Module_Address_Usage!$C$18,3,8))+HEX2DEC(MID($N$105,3,5))*4+0,8),4))</f>
        <v>0x6000_007C</v>
      </c>
    </row>
    <row r="106" spans="1:18" ht="20.100000000000001" customHeight="1" x14ac:dyDescent="0.25">
      <c r="A106" s="30"/>
      <c r="B106" s="15" t="s">
        <v>49</v>
      </c>
      <c r="C106" s="30"/>
      <c r="D106" s="17"/>
      <c r="E106" s="17"/>
      <c r="F106" s="17"/>
      <c r="G106" s="17"/>
      <c r="H106" s="17"/>
      <c r="I106" s="17"/>
      <c r="J106" s="17"/>
      <c r="K106" s="17"/>
      <c r="L106" s="30"/>
      <c r="M106" s="30"/>
      <c r="N106" s="30"/>
      <c r="O106" s="15" t="str">
        <f>CONCATENATE("0x",DEC2HEX(HEX2DEC(MID($N$105,3,5))*4+2,6))</f>
        <v>0x00007E</v>
      </c>
      <c r="P106" s="15" t="s">
        <v>111</v>
      </c>
      <c r="Q106" s="15" t="s">
        <v>49</v>
      </c>
      <c r="R106" s="30"/>
    </row>
    <row r="107" spans="1:18" ht="20.100000000000001" customHeight="1" x14ac:dyDescent="0.25">
      <c r="A107" s="30"/>
      <c r="B107" s="15" t="s">
        <v>112</v>
      </c>
      <c r="C107" s="30"/>
      <c r="D107" s="17"/>
      <c r="E107" s="56" t="s">
        <v>385</v>
      </c>
      <c r="F107" s="24"/>
      <c r="G107" s="24"/>
      <c r="H107" s="24"/>
      <c r="I107" s="24"/>
      <c r="J107" s="24"/>
      <c r="K107" s="25"/>
      <c r="L107" s="30"/>
      <c r="M107" s="30"/>
      <c r="N107" s="30"/>
      <c r="O107" s="15" t="str">
        <f>CONCATENATE("0x",DEC2HEX(HEX2DEC(MID($N$105,3,5))*4+1,6))</f>
        <v>0x00007D</v>
      </c>
      <c r="P107" s="15" t="s">
        <v>138</v>
      </c>
      <c r="Q107" s="15" t="s">
        <v>42</v>
      </c>
      <c r="R107" s="30"/>
    </row>
    <row r="108" spans="1:18" ht="20.100000000000001" customHeight="1" x14ac:dyDescent="0.25">
      <c r="A108" s="31"/>
      <c r="B108" s="16" t="s">
        <v>112</v>
      </c>
      <c r="C108" s="31"/>
      <c r="D108" s="57" t="s">
        <v>386</v>
      </c>
      <c r="E108" s="47"/>
      <c r="F108" s="47"/>
      <c r="G108" s="47"/>
      <c r="H108" s="47"/>
      <c r="I108" s="48"/>
      <c r="J108" s="57" t="s">
        <v>387</v>
      </c>
      <c r="K108" s="48"/>
      <c r="L108" s="31"/>
      <c r="M108" s="31"/>
      <c r="N108" s="31"/>
      <c r="O108" s="16" t="str">
        <f>CONCATENATE("0x",DEC2HEX(HEX2DEC(MID($N$105,3,5))*4+0,6))</f>
        <v>0x00007C</v>
      </c>
      <c r="P108" s="16" t="s">
        <v>138</v>
      </c>
      <c r="Q108" s="16" t="s">
        <v>42</v>
      </c>
      <c r="R108" s="31"/>
    </row>
    <row r="109" spans="1:18" ht="20.100000000000001" customHeight="1" x14ac:dyDescent="0.25">
      <c r="A109" s="51" t="s">
        <v>181</v>
      </c>
      <c r="B109" s="13" t="s">
        <v>49</v>
      </c>
      <c r="C109" s="51" t="s">
        <v>388</v>
      </c>
      <c r="D109" s="22"/>
      <c r="E109" s="22"/>
      <c r="F109" s="22"/>
      <c r="G109" s="22"/>
      <c r="H109" s="22"/>
      <c r="I109" s="22"/>
      <c r="J109" s="22"/>
      <c r="K109" s="22"/>
      <c r="L109" s="49" t="s">
        <v>389</v>
      </c>
      <c r="M109" s="49" t="s">
        <v>288</v>
      </c>
      <c r="N109" s="51" t="str">
        <f>CONCATENATE("0x",DEC2HEX(HEX2DEC(MID(Module_Address_Usage!$C$20,3,5))+HEX2DEC(MID($A109,3,5)),5))</f>
        <v>0x00020</v>
      </c>
      <c r="O109" s="13" t="str">
        <f>CONCATENATE("0x",DEC2HEX(HEX2DEC(MID($N$109,3,5))*4+3,6))</f>
        <v>0x000083</v>
      </c>
      <c r="P109" s="13" t="s">
        <v>111</v>
      </c>
      <c r="Q109" s="13" t="s">
        <v>49</v>
      </c>
      <c r="R109" s="51" t="str">
        <f>CONCATENATE("0x",LEFT(DEC2HEX(HEX2DEC(MID(Module_Address_Usage!$C$18,3,8))+HEX2DEC(MID($N$109,3,5))*4+0,8),4),"_",RIGHT(DEC2HEX(HEX2DEC(MID(Module_Address_Usage!$C$18,3,8))+HEX2DEC(MID($N$109,3,5))*4+0,8),4))</f>
        <v>0x6000_0080</v>
      </c>
    </row>
    <row r="110" spans="1:18" ht="20.100000000000001" customHeight="1" x14ac:dyDescent="0.25">
      <c r="A110" s="30"/>
      <c r="B110" s="15" t="s">
        <v>49</v>
      </c>
      <c r="C110" s="30"/>
      <c r="D110" s="17"/>
      <c r="E110" s="17"/>
      <c r="F110" s="17"/>
      <c r="G110" s="17"/>
      <c r="H110" s="17"/>
      <c r="I110" s="17"/>
      <c r="J110" s="17"/>
      <c r="K110" s="17"/>
      <c r="L110" s="30"/>
      <c r="M110" s="30"/>
      <c r="N110" s="30"/>
      <c r="O110" s="15" t="str">
        <f>CONCATENATE("0x",DEC2HEX(HEX2DEC(MID($N$109,3,5))*4+2,6))</f>
        <v>0x000082</v>
      </c>
      <c r="P110" s="15" t="s">
        <v>111</v>
      </c>
      <c r="Q110" s="15" t="s">
        <v>49</v>
      </c>
      <c r="R110" s="30"/>
    </row>
    <row r="111" spans="1:18" ht="20.100000000000001" customHeight="1" x14ac:dyDescent="0.25">
      <c r="A111" s="30"/>
      <c r="B111" s="15" t="s">
        <v>112</v>
      </c>
      <c r="C111" s="30"/>
      <c r="D111" s="17"/>
      <c r="E111" s="17"/>
      <c r="F111" s="17"/>
      <c r="G111" s="17"/>
      <c r="H111" s="56" t="s">
        <v>289</v>
      </c>
      <c r="I111" s="24"/>
      <c r="J111" s="24"/>
      <c r="K111" s="25"/>
      <c r="L111" s="30"/>
      <c r="M111" s="30"/>
      <c r="N111" s="30"/>
      <c r="O111" s="15" t="str">
        <f>CONCATENATE("0x",DEC2HEX(HEX2DEC(MID($N$109,3,5))*4+1,6))</f>
        <v>0x000081</v>
      </c>
      <c r="P111" s="15" t="s">
        <v>290</v>
      </c>
      <c r="Q111" s="15" t="s">
        <v>42</v>
      </c>
      <c r="R111" s="30"/>
    </row>
    <row r="112" spans="1:18" ht="20.100000000000001" customHeight="1" x14ac:dyDescent="0.25">
      <c r="A112" s="31"/>
      <c r="B112" s="16" t="s">
        <v>112</v>
      </c>
      <c r="C112" s="31"/>
      <c r="D112" s="57" t="s">
        <v>291</v>
      </c>
      <c r="E112" s="47"/>
      <c r="F112" s="47"/>
      <c r="G112" s="47"/>
      <c r="H112" s="47"/>
      <c r="I112" s="47"/>
      <c r="J112" s="47"/>
      <c r="K112" s="48"/>
      <c r="L112" s="31"/>
      <c r="M112" s="31"/>
      <c r="N112" s="31"/>
      <c r="O112" s="16" t="str">
        <f>CONCATENATE("0x",DEC2HEX(HEX2DEC(MID($N$109,3,5))*4+0,6))</f>
        <v>0x000080</v>
      </c>
      <c r="P112" s="16" t="s">
        <v>292</v>
      </c>
      <c r="Q112" s="16" t="s">
        <v>42</v>
      </c>
      <c r="R112" s="31"/>
    </row>
    <row r="113" spans="1:18" ht="20.100000000000001" customHeight="1" x14ac:dyDescent="0.25">
      <c r="A113" s="51" t="s">
        <v>186</v>
      </c>
      <c r="B113" s="13" t="s">
        <v>49</v>
      </c>
      <c r="C113" s="51" t="s">
        <v>390</v>
      </c>
      <c r="D113" s="22"/>
      <c r="E113" s="22"/>
      <c r="F113" s="22"/>
      <c r="G113" s="22"/>
      <c r="H113" s="22"/>
      <c r="I113" s="22"/>
      <c r="J113" s="22"/>
      <c r="K113" s="22"/>
      <c r="L113" s="49" t="s">
        <v>391</v>
      </c>
      <c r="M113" s="49" t="s">
        <v>295</v>
      </c>
      <c r="N113" s="51" t="str">
        <f>CONCATENATE("0x",DEC2HEX(HEX2DEC(MID(Module_Address_Usage!$C$20,3,5))+HEX2DEC(MID($A113,3,5)),5))</f>
        <v>0x00021</v>
      </c>
      <c r="O113" s="13" t="str">
        <f>CONCATENATE("0x",DEC2HEX(HEX2DEC(MID($N$113,3,5))*4+3,6))</f>
        <v>0x000087</v>
      </c>
      <c r="P113" s="13" t="s">
        <v>111</v>
      </c>
      <c r="Q113" s="13" t="s">
        <v>49</v>
      </c>
      <c r="R113" s="51" t="str">
        <f>CONCATENATE("0x",LEFT(DEC2HEX(HEX2DEC(MID(Module_Address_Usage!$C$18,3,8))+HEX2DEC(MID($N$113,3,5))*4+0,8),4),"_",RIGHT(DEC2HEX(HEX2DEC(MID(Module_Address_Usage!$C$18,3,8))+HEX2DEC(MID($N$113,3,5))*4+0,8),4))</f>
        <v>0x6000_0084</v>
      </c>
    </row>
    <row r="114" spans="1:18" ht="20.100000000000001" customHeight="1" x14ac:dyDescent="0.25">
      <c r="A114" s="30"/>
      <c r="B114" s="15" t="s">
        <v>49</v>
      </c>
      <c r="C114" s="30"/>
      <c r="D114" s="17"/>
      <c r="E114" s="17"/>
      <c r="F114" s="17"/>
      <c r="G114" s="17"/>
      <c r="H114" s="17"/>
      <c r="I114" s="17"/>
      <c r="J114" s="17"/>
      <c r="K114" s="17"/>
      <c r="L114" s="30"/>
      <c r="M114" s="30"/>
      <c r="N114" s="30"/>
      <c r="O114" s="15" t="str">
        <f>CONCATENATE("0x",DEC2HEX(HEX2DEC(MID($N$113,3,5))*4+2,6))</f>
        <v>0x000086</v>
      </c>
      <c r="P114" s="15" t="s">
        <v>111</v>
      </c>
      <c r="Q114" s="15" t="s">
        <v>49</v>
      </c>
      <c r="R114" s="30"/>
    </row>
    <row r="115" spans="1:18" ht="20.100000000000001" customHeight="1" x14ac:dyDescent="0.25">
      <c r="A115" s="30"/>
      <c r="B115" s="15" t="s">
        <v>112</v>
      </c>
      <c r="C115" s="30"/>
      <c r="D115" s="17"/>
      <c r="E115" s="17"/>
      <c r="F115" s="17"/>
      <c r="G115" s="17"/>
      <c r="H115" s="56" t="s">
        <v>296</v>
      </c>
      <c r="I115" s="24"/>
      <c r="J115" s="24"/>
      <c r="K115" s="25"/>
      <c r="L115" s="30"/>
      <c r="M115" s="30"/>
      <c r="N115" s="30"/>
      <c r="O115" s="15" t="str">
        <f>CONCATENATE("0x",DEC2HEX(HEX2DEC(MID($N$113,3,5))*4+1,6))</f>
        <v>0x000085</v>
      </c>
      <c r="P115" s="15" t="s">
        <v>297</v>
      </c>
      <c r="Q115" s="15" t="s">
        <v>42</v>
      </c>
      <c r="R115" s="30"/>
    </row>
    <row r="116" spans="1:18" ht="20.100000000000001" customHeight="1" x14ac:dyDescent="0.25">
      <c r="A116" s="31"/>
      <c r="B116" s="16" t="s">
        <v>112</v>
      </c>
      <c r="C116" s="31"/>
      <c r="D116" s="57" t="s">
        <v>298</v>
      </c>
      <c r="E116" s="47"/>
      <c r="F116" s="47"/>
      <c r="G116" s="47"/>
      <c r="H116" s="47"/>
      <c r="I116" s="47"/>
      <c r="J116" s="47"/>
      <c r="K116" s="48"/>
      <c r="L116" s="31"/>
      <c r="M116" s="31"/>
      <c r="N116" s="31"/>
      <c r="O116" s="16" t="str">
        <f>CONCATENATE("0x",DEC2HEX(HEX2DEC(MID($N$113,3,5))*4+0,6))</f>
        <v>0x000084</v>
      </c>
      <c r="P116" s="16" t="s">
        <v>299</v>
      </c>
      <c r="Q116" s="16" t="s">
        <v>42</v>
      </c>
      <c r="R116" s="31"/>
    </row>
    <row r="117" spans="1:18" ht="20.100000000000001" customHeight="1" x14ac:dyDescent="0.25">
      <c r="A117" s="51" t="s">
        <v>191</v>
      </c>
      <c r="B117" s="13" t="s">
        <v>49</v>
      </c>
      <c r="C117" s="51" t="s">
        <v>392</v>
      </c>
      <c r="D117" s="22"/>
      <c r="E117" s="22"/>
      <c r="F117" s="22"/>
      <c r="G117" s="22"/>
      <c r="H117" s="22"/>
      <c r="I117" s="22"/>
      <c r="J117" s="22"/>
      <c r="K117" s="22"/>
      <c r="L117" s="49" t="s">
        <v>393</v>
      </c>
      <c r="M117" s="49" t="s">
        <v>302</v>
      </c>
      <c r="N117" s="51" t="str">
        <f>CONCATENATE("0x",DEC2HEX(HEX2DEC(MID(Module_Address_Usage!$C$20,3,5))+HEX2DEC(MID($A117,3,5)),5))</f>
        <v>0x00022</v>
      </c>
      <c r="O117" s="13" t="str">
        <f>CONCATENATE("0x",DEC2HEX(HEX2DEC(MID($N$117,3,5))*4+3,6))</f>
        <v>0x00008B</v>
      </c>
      <c r="P117" s="13" t="s">
        <v>111</v>
      </c>
      <c r="Q117" s="13" t="s">
        <v>49</v>
      </c>
      <c r="R117" s="51" t="str">
        <f>CONCATENATE("0x",LEFT(DEC2HEX(HEX2DEC(MID(Module_Address_Usage!$C$18,3,8))+HEX2DEC(MID($N$117,3,5))*4+0,8),4),"_",RIGHT(DEC2HEX(HEX2DEC(MID(Module_Address_Usage!$C$18,3,8))+HEX2DEC(MID($N$117,3,5))*4+0,8),4))</f>
        <v>0x6000_0088</v>
      </c>
    </row>
    <row r="118" spans="1:18" ht="20.100000000000001" customHeight="1" x14ac:dyDescent="0.25">
      <c r="A118" s="30"/>
      <c r="B118" s="15" t="s">
        <v>49</v>
      </c>
      <c r="C118" s="30"/>
      <c r="D118" s="17"/>
      <c r="E118" s="17"/>
      <c r="F118" s="17"/>
      <c r="G118" s="17"/>
      <c r="H118" s="17"/>
      <c r="I118" s="17"/>
      <c r="J118" s="17"/>
      <c r="K118" s="17"/>
      <c r="L118" s="30"/>
      <c r="M118" s="30"/>
      <c r="N118" s="30"/>
      <c r="O118" s="15" t="str">
        <f>CONCATENATE("0x",DEC2HEX(HEX2DEC(MID($N$117,3,5))*4+2,6))</f>
        <v>0x00008A</v>
      </c>
      <c r="P118" s="15" t="s">
        <v>111</v>
      </c>
      <c r="Q118" s="15" t="s">
        <v>49</v>
      </c>
      <c r="R118" s="30"/>
    </row>
    <row r="119" spans="1:18" ht="20.100000000000001" customHeight="1" x14ac:dyDescent="0.25">
      <c r="A119" s="30"/>
      <c r="B119" s="15" t="s">
        <v>112</v>
      </c>
      <c r="C119" s="30"/>
      <c r="D119" s="17"/>
      <c r="E119" s="17"/>
      <c r="F119" s="17"/>
      <c r="G119" s="17"/>
      <c r="H119" s="56" t="s">
        <v>303</v>
      </c>
      <c r="I119" s="24"/>
      <c r="J119" s="24"/>
      <c r="K119" s="25"/>
      <c r="L119" s="30"/>
      <c r="M119" s="30"/>
      <c r="N119" s="30"/>
      <c r="O119" s="15" t="str">
        <f>CONCATENATE("0x",DEC2HEX(HEX2DEC(MID($N$117,3,5))*4+1,6))</f>
        <v>0x000089</v>
      </c>
      <c r="P119" s="15" t="s">
        <v>304</v>
      </c>
      <c r="Q119" s="15" t="s">
        <v>42</v>
      </c>
      <c r="R119" s="30"/>
    </row>
    <row r="120" spans="1:18" ht="20.100000000000001" customHeight="1" x14ac:dyDescent="0.25">
      <c r="A120" s="31"/>
      <c r="B120" s="16" t="s">
        <v>112</v>
      </c>
      <c r="C120" s="31"/>
      <c r="D120" s="57" t="s">
        <v>305</v>
      </c>
      <c r="E120" s="47"/>
      <c r="F120" s="47"/>
      <c r="G120" s="47"/>
      <c r="H120" s="47"/>
      <c r="I120" s="47"/>
      <c r="J120" s="47"/>
      <c r="K120" s="48"/>
      <c r="L120" s="31"/>
      <c r="M120" s="31"/>
      <c r="N120" s="31"/>
      <c r="O120" s="16" t="str">
        <f>CONCATENATE("0x",DEC2HEX(HEX2DEC(MID($N$117,3,5))*4+0,6))</f>
        <v>0x000088</v>
      </c>
      <c r="P120" s="16" t="s">
        <v>292</v>
      </c>
      <c r="Q120" s="16" t="s">
        <v>42</v>
      </c>
      <c r="R120" s="31"/>
    </row>
    <row r="121" spans="1:18" ht="20.100000000000001" customHeight="1" x14ac:dyDescent="0.25">
      <c r="A121" s="51" t="s">
        <v>196</v>
      </c>
      <c r="B121" s="13" t="s">
        <v>49</v>
      </c>
      <c r="C121" s="51" t="s">
        <v>394</v>
      </c>
      <c r="D121" s="22"/>
      <c r="E121" s="22"/>
      <c r="F121" s="22"/>
      <c r="G121" s="22"/>
      <c r="H121" s="22"/>
      <c r="I121" s="22"/>
      <c r="J121" s="22"/>
      <c r="K121" s="22"/>
      <c r="L121" s="49" t="s">
        <v>395</v>
      </c>
      <c r="M121" s="49" t="s">
        <v>308</v>
      </c>
      <c r="N121" s="51" t="str">
        <f>CONCATENATE("0x",DEC2HEX(HEX2DEC(MID(Module_Address_Usage!$C$20,3,5))+HEX2DEC(MID($A121,3,5)),5))</f>
        <v>0x00023</v>
      </c>
      <c r="O121" s="13" t="str">
        <f>CONCATENATE("0x",DEC2HEX(HEX2DEC(MID($N$121,3,5))*4+3,6))</f>
        <v>0x00008F</v>
      </c>
      <c r="P121" s="13" t="s">
        <v>111</v>
      </c>
      <c r="Q121" s="13" t="s">
        <v>49</v>
      </c>
      <c r="R121" s="51" t="str">
        <f>CONCATENATE("0x",LEFT(DEC2HEX(HEX2DEC(MID(Module_Address_Usage!$C$18,3,8))+HEX2DEC(MID($N$121,3,5))*4+0,8),4),"_",RIGHT(DEC2HEX(HEX2DEC(MID(Module_Address_Usage!$C$18,3,8))+HEX2DEC(MID($N$121,3,5))*4+0,8),4))</f>
        <v>0x6000_008C</v>
      </c>
    </row>
    <row r="122" spans="1:18" ht="20.100000000000001" customHeight="1" x14ac:dyDescent="0.25">
      <c r="A122" s="30"/>
      <c r="B122" s="15" t="s">
        <v>49</v>
      </c>
      <c r="C122" s="30"/>
      <c r="D122" s="17"/>
      <c r="E122" s="17"/>
      <c r="F122" s="17"/>
      <c r="G122" s="17"/>
      <c r="H122" s="17"/>
      <c r="I122" s="17"/>
      <c r="J122" s="17"/>
      <c r="K122" s="17"/>
      <c r="L122" s="30"/>
      <c r="M122" s="30"/>
      <c r="N122" s="30"/>
      <c r="O122" s="15" t="str">
        <f>CONCATENATE("0x",DEC2HEX(HEX2DEC(MID($N$121,3,5))*4+2,6))</f>
        <v>0x00008E</v>
      </c>
      <c r="P122" s="15" t="s">
        <v>111</v>
      </c>
      <c r="Q122" s="15" t="s">
        <v>49</v>
      </c>
      <c r="R122" s="30"/>
    </row>
    <row r="123" spans="1:18" ht="20.100000000000001" customHeight="1" x14ac:dyDescent="0.25">
      <c r="A123" s="30"/>
      <c r="B123" s="15" t="s">
        <v>112</v>
      </c>
      <c r="C123" s="30"/>
      <c r="D123" s="17"/>
      <c r="E123" s="17"/>
      <c r="F123" s="17"/>
      <c r="G123" s="17"/>
      <c r="H123" s="56" t="s">
        <v>309</v>
      </c>
      <c r="I123" s="24"/>
      <c r="J123" s="24"/>
      <c r="K123" s="25"/>
      <c r="L123" s="30"/>
      <c r="M123" s="30"/>
      <c r="N123" s="30"/>
      <c r="O123" s="15" t="str">
        <f>CONCATENATE("0x",DEC2HEX(HEX2DEC(MID($N$121,3,5))*4+1,6))</f>
        <v>0x00008D</v>
      </c>
      <c r="P123" s="15" t="s">
        <v>310</v>
      </c>
      <c r="Q123" s="15" t="s">
        <v>42</v>
      </c>
      <c r="R123" s="30"/>
    </row>
    <row r="124" spans="1:18" ht="20.100000000000001" customHeight="1" x14ac:dyDescent="0.25">
      <c r="A124" s="31"/>
      <c r="B124" s="16" t="s">
        <v>112</v>
      </c>
      <c r="C124" s="31"/>
      <c r="D124" s="57" t="s">
        <v>311</v>
      </c>
      <c r="E124" s="47"/>
      <c r="F124" s="47"/>
      <c r="G124" s="47"/>
      <c r="H124" s="47"/>
      <c r="I124" s="47"/>
      <c r="J124" s="47"/>
      <c r="K124" s="48"/>
      <c r="L124" s="31"/>
      <c r="M124" s="31"/>
      <c r="N124" s="31"/>
      <c r="O124" s="16" t="str">
        <f>CONCATENATE("0x",DEC2HEX(HEX2DEC(MID($N$121,3,5))*4+0,6))</f>
        <v>0x00008C</v>
      </c>
      <c r="P124" s="16" t="s">
        <v>299</v>
      </c>
      <c r="Q124" s="16" t="s">
        <v>42</v>
      </c>
      <c r="R124" s="31"/>
    </row>
    <row r="125" spans="1:18" ht="27" customHeight="1" x14ac:dyDescent="0.25">
      <c r="A125" s="12" t="s">
        <v>396</v>
      </c>
      <c r="B125" s="12" t="s">
        <v>49</v>
      </c>
      <c r="C125" s="12" t="s">
        <v>47</v>
      </c>
      <c r="D125" s="55"/>
      <c r="E125" s="27"/>
      <c r="F125" s="27"/>
      <c r="G125" s="27"/>
      <c r="H125" s="27"/>
      <c r="I125" s="27"/>
      <c r="J125" s="27"/>
      <c r="K125" s="28"/>
      <c r="L125" s="14" t="s">
        <v>47</v>
      </c>
      <c r="M125" s="14" t="s">
        <v>120</v>
      </c>
      <c r="N125" s="12" t="str">
        <f>CONCATENATE("0x",DEC2HEX(HEX2DEC(MID(Module_Address_Usage!$C$20,3,5))+HEX2DEC(MID($A125,3,5)),5))&amp;CHAR(10)&amp;"~ "&amp;CONCATENATE("0x",DEC2HEX(HEX2DEC(MID(Module_Address_Usage!$C$20,3,5))+HEX2DEC(MID($A125,13,5)),5))</f>
        <v>0x00024
~ 0x00027</v>
      </c>
      <c r="O125" s="12" t="str">
        <f>CONCATENATE("0x",DEC2HEX(HEX2DEC(MID(CONCATENATE("0x",DEC2HEX(HEX2DEC(MID(Module_Address_Usage!$C$20,3,5))+HEX2DEC(MID($A125,3,5)),5)),3,5))*4+0,6))&amp;CHAR(10)&amp;"~ "&amp;CONCATENATE("0x",DEC2HEX(HEX2DEC(MID(CONCATENATE("0x",DEC2HEX(HEX2DEC(MID(Module_Address_Usage!$C$20,3,5))+HEX2DEC(MID($A125,13,5)),5)),3,5))*4+3,6))</f>
        <v>0x000090
~ 0x00009F</v>
      </c>
      <c r="P125" s="12" t="s">
        <v>111</v>
      </c>
      <c r="Q125" s="12" t="s">
        <v>49</v>
      </c>
      <c r="R125" s="12" t="str">
        <f>CONCATENATE("0x",LEFT(DEC2HEX(HEX2DEC(MID(Module_Address_Usage!$C$18,3,8))+HEX2DEC(MID(CONCATENATE("0x",DEC2HEX(HEX2DEC(MID(Module_Address_Usage!$C$20,3,5))+HEX2DEC(MID($A125,3,5)),5)),3,5))*4+0,8),4),"_",RIGHT(DEC2HEX(HEX2DEC(MID(Module_Address_Usage!$C$18,3,8))+HEX2DEC(MID(CONCATENATE("0x",DEC2HEX(HEX2DEC(MID(Module_Address_Usage!$C$20,3,5))+HEX2DEC(MID($A125,3,5)),5)),3,5))*4+0,8),4))&amp;CHAR(10)&amp;"~ "&amp;CONCATENATE("0x",LEFT(DEC2HEX(HEX2DEC(MID(Module_Address_Usage!$C$18,3,8))+HEX2DEC(MID(CONCATENATE("0x",DEC2HEX(HEX2DEC(MID(Module_Address_Usage!$C$20,3,5))+HEX2DEC(MID($A125,13,5)),5)),3,5))*4+3,8),4),"_",RIGHT(DEC2HEX(HEX2DEC(MID(Module_Address_Usage!$C$18,3,8))+HEX2DEC(MID(CONCATENATE("0x",DEC2HEX(HEX2DEC(MID(Module_Address_Usage!$C$20,3,5))+HEX2DEC(MID($A125,13,5)),5)),3,5))*4+3,8),4))</f>
        <v>0x6000_0090
~ 0x6000_009F</v>
      </c>
    </row>
    <row r="126" spans="1:18" ht="20.100000000000001" customHeight="1" x14ac:dyDescent="0.25">
      <c r="A126" s="51" t="s">
        <v>397</v>
      </c>
      <c r="B126" s="13" t="s">
        <v>49</v>
      </c>
      <c r="C126" s="51" t="s">
        <v>398</v>
      </c>
      <c r="D126" s="22"/>
      <c r="E126" s="22"/>
      <c r="F126" s="22"/>
      <c r="G126" s="22"/>
      <c r="H126" s="22"/>
      <c r="I126" s="22"/>
      <c r="J126" s="22"/>
      <c r="K126" s="22"/>
      <c r="L126" s="49" t="s">
        <v>399</v>
      </c>
      <c r="M126" s="49" t="s">
        <v>400</v>
      </c>
      <c r="N126" s="51" t="str">
        <f>CONCATENATE("0x",DEC2HEX(HEX2DEC(MID(Module_Address_Usage!$C$20,3,5))+HEX2DEC(MID($A126,3,5)),5))</f>
        <v>0x00028</v>
      </c>
      <c r="O126" s="13" t="str">
        <f>CONCATENATE("0x",DEC2HEX(HEX2DEC(MID($N$126,3,5))*4+3,6))</f>
        <v>0x0000A3</v>
      </c>
      <c r="P126" s="13" t="s">
        <v>111</v>
      </c>
      <c r="Q126" s="13" t="s">
        <v>49</v>
      </c>
      <c r="R126" s="51" t="str">
        <f>CONCATENATE("0x",LEFT(DEC2HEX(HEX2DEC(MID(Module_Address_Usage!$C$18,3,8))+HEX2DEC(MID($N$126,3,5))*4+0,8),4),"_",RIGHT(DEC2HEX(HEX2DEC(MID(Module_Address_Usage!$C$18,3,8))+HEX2DEC(MID($N$126,3,5))*4+0,8),4))</f>
        <v>0x6000_00A0</v>
      </c>
    </row>
    <row r="127" spans="1:18" ht="20.100000000000001" customHeight="1" x14ac:dyDescent="0.25">
      <c r="A127" s="30"/>
      <c r="B127" s="15" t="s">
        <v>49</v>
      </c>
      <c r="C127" s="30"/>
      <c r="D127" s="17"/>
      <c r="E127" s="17"/>
      <c r="F127" s="17"/>
      <c r="G127" s="17"/>
      <c r="H127" s="17"/>
      <c r="I127" s="17"/>
      <c r="J127" s="17"/>
      <c r="K127" s="17"/>
      <c r="L127" s="30"/>
      <c r="M127" s="30"/>
      <c r="N127" s="30"/>
      <c r="O127" s="15" t="str">
        <f>CONCATENATE("0x",DEC2HEX(HEX2DEC(MID($N$126,3,5))*4+2,6))</f>
        <v>0x0000A2</v>
      </c>
      <c r="P127" s="15" t="s">
        <v>111</v>
      </c>
      <c r="Q127" s="15" t="s">
        <v>49</v>
      </c>
      <c r="R127" s="30"/>
    </row>
    <row r="128" spans="1:18" ht="20.100000000000001" customHeight="1" x14ac:dyDescent="0.25">
      <c r="A128" s="30"/>
      <c r="B128" s="15" t="s">
        <v>49</v>
      </c>
      <c r="C128" s="30"/>
      <c r="D128" s="17"/>
      <c r="E128" s="17"/>
      <c r="F128" s="17"/>
      <c r="G128" s="17"/>
      <c r="H128" s="17"/>
      <c r="I128" s="17"/>
      <c r="J128" s="17"/>
      <c r="K128" s="17"/>
      <c r="L128" s="30"/>
      <c r="M128" s="30"/>
      <c r="N128" s="30"/>
      <c r="O128" s="15" t="str">
        <f>CONCATENATE("0x",DEC2HEX(HEX2DEC(MID($N$126,3,5))*4+1,6))</f>
        <v>0x0000A1</v>
      </c>
      <c r="P128" s="15" t="s">
        <v>111</v>
      </c>
      <c r="Q128" s="15" t="s">
        <v>49</v>
      </c>
      <c r="R128" s="30"/>
    </row>
    <row r="129" spans="1:18" ht="20.100000000000001" customHeight="1" x14ac:dyDescent="0.25">
      <c r="A129" s="31"/>
      <c r="B129" s="16" t="s">
        <v>112</v>
      </c>
      <c r="C129" s="31"/>
      <c r="D129" s="57" t="s">
        <v>401</v>
      </c>
      <c r="E129" s="47"/>
      <c r="F129" s="47"/>
      <c r="G129" s="47"/>
      <c r="H129" s="47"/>
      <c r="I129" s="47"/>
      <c r="J129" s="47"/>
      <c r="K129" s="48"/>
      <c r="L129" s="31"/>
      <c r="M129" s="31"/>
      <c r="N129" s="31"/>
      <c r="O129" s="16" t="str">
        <f>CONCATENATE("0x",DEC2HEX(HEX2DEC(MID($N$126,3,5))*4+0,6))</f>
        <v>0x0000A0</v>
      </c>
      <c r="P129" s="16" t="s">
        <v>402</v>
      </c>
      <c r="Q129" s="16" t="s">
        <v>42</v>
      </c>
      <c r="R129" s="31"/>
    </row>
    <row r="130" spans="1:18" ht="20.100000000000001" customHeight="1" x14ac:dyDescent="0.25">
      <c r="A130" s="51" t="s">
        <v>403</v>
      </c>
      <c r="B130" s="13" t="s">
        <v>49</v>
      </c>
      <c r="C130" s="51" t="s">
        <v>404</v>
      </c>
      <c r="D130" s="22"/>
      <c r="E130" s="22"/>
      <c r="F130" s="22"/>
      <c r="G130" s="22"/>
      <c r="H130" s="22"/>
      <c r="I130" s="22"/>
      <c r="J130" s="22"/>
      <c r="K130" s="22"/>
      <c r="L130" s="49" t="s">
        <v>405</v>
      </c>
      <c r="M130" s="49" t="s">
        <v>329</v>
      </c>
      <c r="N130" s="51" t="str">
        <f>CONCATENATE("0x",DEC2HEX(HEX2DEC(MID(Module_Address_Usage!$C$20,3,5))+HEX2DEC(MID($A130,3,5)),5))</f>
        <v>0x00029</v>
      </c>
      <c r="O130" s="13" t="str">
        <f>CONCATENATE("0x",DEC2HEX(HEX2DEC(MID($N$130,3,5))*4+3,6))</f>
        <v>0x0000A7</v>
      </c>
      <c r="P130" s="13" t="s">
        <v>111</v>
      </c>
      <c r="Q130" s="13" t="s">
        <v>49</v>
      </c>
      <c r="R130" s="51" t="str">
        <f>CONCATENATE("0x",LEFT(DEC2HEX(HEX2DEC(MID(Module_Address_Usage!$C$18,3,8))+HEX2DEC(MID($N$130,3,5))*4+0,8),4),"_",RIGHT(DEC2HEX(HEX2DEC(MID(Module_Address_Usage!$C$18,3,8))+HEX2DEC(MID($N$130,3,5))*4+0,8),4))</f>
        <v>0x6000_00A4</v>
      </c>
    </row>
    <row r="131" spans="1:18" ht="20.100000000000001" customHeight="1" x14ac:dyDescent="0.25">
      <c r="A131" s="30"/>
      <c r="B131" s="15" t="s">
        <v>49</v>
      </c>
      <c r="C131" s="30"/>
      <c r="D131" s="17"/>
      <c r="E131" s="17"/>
      <c r="F131" s="17"/>
      <c r="G131" s="17"/>
      <c r="H131" s="17"/>
      <c r="I131" s="17"/>
      <c r="J131" s="17"/>
      <c r="K131" s="17"/>
      <c r="L131" s="30"/>
      <c r="M131" s="30"/>
      <c r="N131" s="30"/>
      <c r="O131" s="15" t="str">
        <f>CONCATENATE("0x",DEC2HEX(HEX2DEC(MID($N$130,3,5))*4+2,6))</f>
        <v>0x0000A6</v>
      </c>
      <c r="P131" s="15" t="s">
        <v>111</v>
      </c>
      <c r="Q131" s="15" t="s">
        <v>49</v>
      </c>
      <c r="R131" s="30"/>
    </row>
    <row r="132" spans="1:18" ht="20.100000000000001" customHeight="1" x14ac:dyDescent="0.25">
      <c r="A132" s="30"/>
      <c r="B132" s="15" t="s">
        <v>49</v>
      </c>
      <c r="C132" s="30"/>
      <c r="D132" s="17"/>
      <c r="E132" s="17"/>
      <c r="F132" s="17"/>
      <c r="G132" s="17"/>
      <c r="H132" s="17"/>
      <c r="I132" s="17"/>
      <c r="J132" s="17"/>
      <c r="K132" s="17"/>
      <c r="L132" s="30"/>
      <c r="M132" s="30"/>
      <c r="N132" s="30"/>
      <c r="O132" s="15" t="str">
        <f>CONCATENATE("0x",DEC2HEX(HEX2DEC(MID($N$130,3,5))*4+1,6))</f>
        <v>0x0000A5</v>
      </c>
      <c r="P132" s="15" t="s">
        <v>111</v>
      </c>
      <c r="Q132" s="15" t="s">
        <v>49</v>
      </c>
      <c r="R132" s="30"/>
    </row>
    <row r="133" spans="1:18" ht="20.100000000000001" customHeight="1" x14ac:dyDescent="0.25">
      <c r="A133" s="31"/>
      <c r="B133" s="16" t="s">
        <v>283</v>
      </c>
      <c r="C133" s="31"/>
      <c r="D133" s="18"/>
      <c r="E133" s="18"/>
      <c r="F133" s="18"/>
      <c r="G133" s="18"/>
      <c r="H133" s="18"/>
      <c r="I133" s="18"/>
      <c r="J133" s="18"/>
      <c r="K133" s="16" t="s">
        <v>284</v>
      </c>
      <c r="L133" s="31"/>
      <c r="M133" s="31"/>
      <c r="N133" s="31"/>
      <c r="O133" s="16" t="str">
        <f>CONCATENATE("0x",DEC2HEX(HEX2DEC(MID($N$130,3,5))*4+0,6))</f>
        <v>0x0000A4</v>
      </c>
      <c r="P133" s="16" t="s">
        <v>138</v>
      </c>
      <c r="Q133" s="16" t="s">
        <v>42</v>
      </c>
      <c r="R133" s="31"/>
    </row>
    <row r="134" spans="1:18" ht="20.100000000000001" customHeight="1" x14ac:dyDescent="0.25">
      <c r="A134" s="51" t="s">
        <v>406</v>
      </c>
      <c r="B134" s="13" t="s">
        <v>118</v>
      </c>
      <c r="C134" s="51" t="s">
        <v>407</v>
      </c>
      <c r="D134" s="52" t="s">
        <v>408</v>
      </c>
      <c r="E134" s="53"/>
      <c r="F134" s="53"/>
      <c r="G134" s="53"/>
      <c r="H134" s="53"/>
      <c r="I134" s="53"/>
      <c r="J134" s="53"/>
      <c r="K134" s="54"/>
      <c r="L134" s="49" t="s">
        <v>409</v>
      </c>
      <c r="M134" s="49" t="s">
        <v>410</v>
      </c>
      <c r="N134" s="51" t="str">
        <f>CONCATENATE("0x",DEC2HEX(HEX2DEC(MID(Module_Address_Usage!$C$20,3,5))+HEX2DEC(MID($A134,3,5)),5))</f>
        <v>0x0002A</v>
      </c>
      <c r="O134" s="13" t="str">
        <f>CONCATENATE("0x",DEC2HEX(HEX2DEC(MID($N$134,3,5))*4+3,6))</f>
        <v>0x0000AB</v>
      </c>
      <c r="P134" s="13" t="s">
        <v>111</v>
      </c>
      <c r="Q134" s="13" t="s">
        <v>42</v>
      </c>
      <c r="R134" s="51" t="str">
        <f>CONCATENATE("0x",LEFT(DEC2HEX(HEX2DEC(MID(Module_Address_Usage!$C$18,3,8))+HEX2DEC(MID($N$134,3,5))*4+0,8),4),"_",RIGHT(DEC2HEX(HEX2DEC(MID(Module_Address_Usage!$C$18,3,8))+HEX2DEC(MID($N$134,3,5))*4+0,8),4))</f>
        <v>0x6000_00A8</v>
      </c>
    </row>
    <row r="135" spans="1:18" ht="20.100000000000001" customHeight="1" x14ac:dyDescent="0.25">
      <c r="A135" s="30"/>
      <c r="B135" s="15" t="s">
        <v>118</v>
      </c>
      <c r="C135" s="30"/>
      <c r="D135" s="56" t="s">
        <v>411</v>
      </c>
      <c r="E135" s="24"/>
      <c r="F135" s="24"/>
      <c r="G135" s="24"/>
      <c r="H135" s="24"/>
      <c r="I135" s="24"/>
      <c r="J135" s="24"/>
      <c r="K135" s="25"/>
      <c r="L135" s="30"/>
      <c r="M135" s="30"/>
      <c r="N135" s="30"/>
      <c r="O135" s="15" t="str">
        <f>CONCATENATE("0x",DEC2HEX(HEX2DEC(MID($N$134,3,5))*4+2,6))</f>
        <v>0x0000AA</v>
      </c>
      <c r="P135" s="15" t="s">
        <v>111</v>
      </c>
      <c r="Q135" s="15" t="s">
        <v>42</v>
      </c>
      <c r="R135" s="30"/>
    </row>
    <row r="136" spans="1:18" ht="20.100000000000001" customHeight="1" x14ac:dyDescent="0.25">
      <c r="A136" s="30"/>
      <c r="B136" s="15" t="s">
        <v>118</v>
      </c>
      <c r="C136" s="30"/>
      <c r="D136" s="56" t="s">
        <v>412</v>
      </c>
      <c r="E136" s="24"/>
      <c r="F136" s="24"/>
      <c r="G136" s="24"/>
      <c r="H136" s="24"/>
      <c r="I136" s="24"/>
      <c r="J136" s="24"/>
      <c r="K136" s="25"/>
      <c r="L136" s="30"/>
      <c r="M136" s="30"/>
      <c r="N136" s="30"/>
      <c r="O136" s="15" t="str">
        <f>CONCATENATE("0x",DEC2HEX(HEX2DEC(MID($N$134,3,5))*4+1,6))</f>
        <v>0x0000A9</v>
      </c>
      <c r="P136" s="15" t="s">
        <v>111</v>
      </c>
      <c r="Q136" s="15" t="s">
        <v>42</v>
      </c>
      <c r="R136" s="30"/>
    </row>
    <row r="137" spans="1:18" ht="20.100000000000001" customHeight="1" x14ac:dyDescent="0.25">
      <c r="A137" s="31"/>
      <c r="B137" s="16" t="s">
        <v>118</v>
      </c>
      <c r="C137" s="31"/>
      <c r="D137" s="57" t="s">
        <v>413</v>
      </c>
      <c r="E137" s="47"/>
      <c r="F137" s="47"/>
      <c r="G137" s="47"/>
      <c r="H137" s="47"/>
      <c r="I137" s="47"/>
      <c r="J137" s="47"/>
      <c r="K137" s="48"/>
      <c r="L137" s="31"/>
      <c r="M137" s="31"/>
      <c r="N137" s="31"/>
      <c r="O137" s="16" t="str">
        <f>CONCATENATE("0x",DEC2HEX(HEX2DEC(MID($N$134,3,5))*4+0,6))</f>
        <v>0x0000A8</v>
      </c>
      <c r="P137" s="16" t="s">
        <v>111</v>
      </c>
      <c r="Q137" s="16" t="s">
        <v>42</v>
      </c>
      <c r="R137" s="31"/>
    </row>
    <row r="138" spans="1:18" ht="20.100000000000001" customHeight="1" x14ac:dyDescent="0.25">
      <c r="A138" s="51" t="s">
        <v>414</v>
      </c>
      <c r="B138" s="13" t="s">
        <v>118</v>
      </c>
      <c r="C138" s="51" t="s">
        <v>415</v>
      </c>
      <c r="D138" s="52" t="s">
        <v>416</v>
      </c>
      <c r="E138" s="53"/>
      <c r="F138" s="53"/>
      <c r="G138" s="53"/>
      <c r="H138" s="53"/>
      <c r="I138" s="53"/>
      <c r="J138" s="53"/>
      <c r="K138" s="54"/>
      <c r="L138" s="49" t="s">
        <v>417</v>
      </c>
      <c r="M138" s="49" t="s">
        <v>410</v>
      </c>
      <c r="N138" s="51" t="str">
        <f>CONCATENATE("0x",DEC2HEX(HEX2DEC(MID(Module_Address_Usage!$C$20,3,5))+HEX2DEC(MID($A138,3,5)),5))</f>
        <v>0x0002B</v>
      </c>
      <c r="O138" s="13" t="str">
        <f>CONCATENATE("0x",DEC2HEX(HEX2DEC(MID($N$138,3,5))*4+3,6))</f>
        <v>0x0000AF</v>
      </c>
      <c r="P138" s="13" t="s">
        <v>111</v>
      </c>
      <c r="Q138" s="13" t="s">
        <v>42</v>
      </c>
      <c r="R138" s="51" t="str">
        <f>CONCATENATE("0x",LEFT(DEC2HEX(HEX2DEC(MID(Module_Address_Usage!$C$18,3,8))+HEX2DEC(MID($N$138,3,5))*4+0,8),4),"_",RIGHT(DEC2HEX(HEX2DEC(MID(Module_Address_Usage!$C$18,3,8))+HEX2DEC(MID($N$138,3,5))*4+0,8),4))</f>
        <v>0x6000_00AC</v>
      </c>
    </row>
    <row r="139" spans="1:18" ht="20.100000000000001" customHeight="1" x14ac:dyDescent="0.25">
      <c r="A139" s="30"/>
      <c r="B139" s="15" t="s">
        <v>118</v>
      </c>
      <c r="C139" s="30"/>
      <c r="D139" s="56" t="s">
        <v>418</v>
      </c>
      <c r="E139" s="24"/>
      <c r="F139" s="24"/>
      <c r="G139" s="24"/>
      <c r="H139" s="24"/>
      <c r="I139" s="24"/>
      <c r="J139" s="24"/>
      <c r="K139" s="25"/>
      <c r="L139" s="30"/>
      <c r="M139" s="30"/>
      <c r="N139" s="30"/>
      <c r="O139" s="15" t="str">
        <f>CONCATENATE("0x",DEC2HEX(HEX2DEC(MID($N$138,3,5))*4+2,6))</f>
        <v>0x0000AE</v>
      </c>
      <c r="P139" s="15" t="s">
        <v>111</v>
      </c>
      <c r="Q139" s="15" t="s">
        <v>42</v>
      </c>
      <c r="R139" s="30"/>
    </row>
    <row r="140" spans="1:18" ht="20.100000000000001" customHeight="1" x14ac:dyDescent="0.25">
      <c r="A140" s="30"/>
      <c r="B140" s="15" t="s">
        <v>118</v>
      </c>
      <c r="C140" s="30"/>
      <c r="D140" s="56" t="s">
        <v>419</v>
      </c>
      <c r="E140" s="24"/>
      <c r="F140" s="24"/>
      <c r="G140" s="24"/>
      <c r="H140" s="24"/>
      <c r="I140" s="24"/>
      <c r="J140" s="24"/>
      <c r="K140" s="25"/>
      <c r="L140" s="30"/>
      <c r="M140" s="30"/>
      <c r="N140" s="30"/>
      <c r="O140" s="15" t="str">
        <f>CONCATENATE("0x",DEC2HEX(HEX2DEC(MID($N$138,3,5))*4+1,6))</f>
        <v>0x0000AD</v>
      </c>
      <c r="P140" s="15" t="s">
        <v>111</v>
      </c>
      <c r="Q140" s="15" t="s">
        <v>42</v>
      </c>
      <c r="R140" s="30"/>
    </row>
    <row r="141" spans="1:18" ht="20.100000000000001" customHeight="1" x14ac:dyDescent="0.25">
      <c r="A141" s="31"/>
      <c r="B141" s="16" t="s">
        <v>118</v>
      </c>
      <c r="C141" s="31"/>
      <c r="D141" s="57" t="s">
        <v>420</v>
      </c>
      <c r="E141" s="47"/>
      <c r="F141" s="47"/>
      <c r="G141" s="47"/>
      <c r="H141" s="47"/>
      <c r="I141" s="47"/>
      <c r="J141" s="47"/>
      <c r="K141" s="48"/>
      <c r="L141" s="31"/>
      <c r="M141" s="31"/>
      <c r="N141" s="31"/>
      <c r="O141" s="16" t="str">
        <f>CONCATENATE("0x",DEC2HEX(HEX2DEC(MID($N$138,3,5))*4+0,6))</f>
        <v>0x0000AC</v>
      </c>
      <c r="P141" s="16" t="s">
        <v>111</v>
      </c>
      <c r="Q141" s="16" t="s">
        <v>42</v>
      </c>
      <c r="R141" s="31"/>
    </row>
    <row r="142" spans="1:18" ht="20.100000000000001" customHeight="1" x14ac:dyDescent="0.25">
      <c r="A142" s="51" t="s">
        <v>421</v>
      </c>
      <c r="B142" s="13" t="s">
        <v>118</v>
      </c>
      <c r="C142" s="51" t="s">
        <v>422</v>
      </c>
      <c r="D142" s="52" t="s">
        <v>423</v>
      </c>
      <c r="E142" s="53"/>
      <c r="F142" s="53"/>
      <c r="G142" s="53"/>
      <c r="H142" s="53"/>
      <c r="I142" s="53"/>
      <c r="J142" s="53"/>
      <c r="K142" s="54"/>
      <c r="L142" s="49" t="s">
        <v>424</v>
      </c>
      <c r="M142" s="49" t="s">
        <v>425</v>
      </c>
      <c r="N142" s="51" t="str">
        <f>CONCATENATE("0x",DEC2HEX(HEX2DEC(MID(Module_Address_Usage!$C$20,3,5))+HEX2DEC(MID($A142,3,5)),5))</f>
        <v>0x0002C</v>
      </c>
      <c r="O142" s="13" t="str">
        <f>CONCATENATE("0x",DEC2HEX(HEX2DEC(MID($N$142,3,5))*4+3,6))</f>
        <v>0x0000B3</v>
      </c>
      <c r="P142" s="13" t="s">
        <v>111</v>
      </c>
      <c r="Q142" s="13" t="s">
        <v>42</v>
      </c>
      <c r="R142" s="51" t="str">
        <f>CONCATENATE("0x",LEFT(DEC2HEX(HEX2DEC(MID(Module_Address_Usage!$C$18,3,8))+HEX2DEC(MID($N$142,3,5))*4+0,8),4),"_",RIGHT(DEC2HEX(HEX2DEC(MID(Module_Address_Usage!$C$18,3,8))+HEX2DEC(MID($N$142,3,5))*4+0,8),4))</f>
        <v>0x6000_00B0</v>
      </c>
    </row>
    <row r="143" spans="1:18" ht="20.100000000000001" customHeight="1" x14ac:dyDescent="0.25">
      <c r="A143" s="30"/>
      <c r="B143" s="15" t="s">
        <v>118</v>
      </c>
      <c r="C143" s="30"/>
      <c r="D143" s="56" t="s">
        <v>426</v>
      </c>
      <c r="E143" s="24"/>
      <c r="F143" s="24"/>
      <c r="G143" s="24"/>
      <c r="H143" s="25"/>
      <c r="I143" s="56" t="s">
        <v>387</v>
      </c>
      <c r="J143" s="25"/>
      <c r="K143" s="15" t="s">
        <v>427</v>
      </c>
      <c r="L143" s="30"/>
      <c r="M143" s="30"/>
      <c r="N143" s="30"/>
      <c r="O143" s="15" t="str">
        <f>CONCATENATE("0x",DEC2HEX(HEX2DEC(MID($N$142,3,5))*4+2,6))</f>
        <v>0x0000B2</v>
      </c>
      <c r="P143" s="15" t="s">
        <v>111</v>
      </c>
      <c r="Q143" s="15" t="s">
        <v>42</v>
      </c>
      <c r="R143" s="30"/>
    </row>
    <row r="144" spans="1:18" ht="20.100000000000001" customHeight="1" x14ac:dyDescent="0.25">
      <c r="A144" s="30"/>
      <c r="B144" s="15" t="s">
        <v>118</v>
      </c>
      <c r="C144" s="30"/>
      <c r="D144" s="56" t="s">
        <v>428</v>
      </c>
      <c r="E144" s="24"/>
      <c r="F144" s="24"/>
      <c r="G144" s="24"/>
      <c r="H144" s="24"/>
      <c r="I144" s="24"/>
      <c r="J144" s="24"/>
      <c r="K144" s="25"/>
      <c r="L144" s="30"/>
      <c r="M144" s="30"/>
      <c r="N144" s="30"/>
      <c r="O144" s="15" t="str">
        <f>CONCATENATE("0x",DEC2HEX(HEX2DEC(MID($N$142,3,5))*4+1,6))</f>
        <v>0x0000B1</v>
      </c>
      <c r="P144" s="15" t="s">
        <v>111</v>
      </c>
      <c r="Q144" s="15" t="s">
        <v>42</v>
      </c>
      <c r="R144" s="30"/>
    </row>
    <row r="145" spans="1:18" ht="20.100000000000001" customHeight="1" x14ac:dyDescent="0.25">
      <c r="A145" s="31"/>
      <c r="B145" s="16" t="s">
        <v>118</v>
      </c>
      <c r="C145" s="31"/>
      <c r="D145" s="57" t="s">
        <v>429</v>
      </c>
      <c r="E145" s="47"/>
      <c r="F145" s="47"/>
      <c r="G145" s="48"/>
      <c r="H145" s="57" t="s">
        <v>430</v>
      </c>
      <c r="I145" s="47"/>
      <c r="J145" s="47"/>
      <c r="K145" s="48"/>
      <c r="L145" s="31"/>
      <c r="M145" s="31"/>
      <c r="N145" s="31"/>
      <c r="O145" s="16" t="str">
        <f>CONCATENATE("0x",DEC2HEX(HEX2DEC(MID($N$142,3,5))*4+0,6))</f>
        <v>0x0000B0</v>
      </c>
      <c r="P145" s="16" t="s">
        <v>111</v>
      </c>
      <c r="Q145" s="16" t="s">
        <v>42</v>
      </c>
      <c r="R145" s="31"/>
    </row>
    <row r="146" spans="1:18" ht="20.100000000000001" customHeight="1" x14ac:dyDescent="0.25">
      <c r="A146" s="51" t="s">
        <v>431</v>
      </c>
      <c r="B146" s="13" t="s">
        <v>118</v>
      </c>
      <c r="C146" s="51" t="s">
        <v>432</v>
      </c>
      <c r="D146" s="52" t="s">
        <v>423</v>
      </c>
      <c r="E146" s="53"/>
      <c r="F146" s="53"/>
      <c r="G146" s="53"/>
      <c r="H146" s="53"/>
      <c r="I146" s="53"/>
      <c r="J146" s="53"/>
      <c r="K146" s="54"/>
      <c r="L146" s="49" t="s">
        <v>433</v>
      </c>
      <c r="M146" s="49" t="s">
        <v>425</v>
      </c>
      <c r="N146" s="51" t="str">
        <f>CONCATENATE("0x",DEC2HEX(HEX2DEC(MID(Module_Address_Usage!$C$20,3,5))+HEX2DEC(MID($A146,3,5)),5))</f>
        <v>0x0002D</v>
      </c>
      <c r="O146" s="13" t="str">
        <f>CONCATENATE("0x",DEC2HEX(HEX2DEC(MID($N$146,3,5))*4+3,6))</f>
        <v>0x0000B7</v>
      </c>
      <c r="P146" s="13" t="s">
        <v>111</v>
      </c>
      <c r="Q146" s="13" t="s">
        <v>42</v>
      </c>
      <c r="R146" s="51" t="str">
        <f>CONCATENATE("0x",LEFT(DEC2HEX(HEX2DEC(MID(Module_Address_Usage!$C$18,3,8))+HEX2DEC(MID($N$146,3,5))*4+0,8),4),"_",RIGHT(DEC2HEX(HEX2DEC(MID(Module_Address_Usage!$C$18,3,8))+HEX2DEC(MID($N$146,3,5))*4+0,8),4))</f>
        <v>0x6000_00B4</v>
      </c>
    </row>
    <row r="147" spans="1:18" ht="20.100000000000001" customHeight="1" x14ac:dyDescent="0.25">
      <c r="A147" s="30"/>
      <c r="B147" s="15" t="s">
        <v>118</v>
      </c>
      <c r="C147" s="30"/>
      <c r="D147" s="56" t="s">
        <v>426</v>
      </c>
      <c r="E147" s="24"/>
      <c r="F147" s="24"/>
      <c r="G147" s="24"/>
      <c r="H147" s="25"/>
      <c r="I147" s="56" t="s">
        <v>387</v>
      </c>
      <c r="J147" s="25"/>
      <c r="K147" s="15" t="s">
        <v>427</v>
      </c>
      <c r="L147" s="30"/>
      <c r="M147" s="30"/>
      <c r="N147" s="30"/>
      <c r="O147" s="15" t="str">
        <f>CONCATENATE("0x",DEC2HEX(HEX2DEC(MID($N$146,3,5))*4+2,6))</f>
        <v>0x0000B6</v>
      </c>
      <c r="P147" s="15" t="s">
        <v>111</v>
      </c>
      <c r="Q147" s="15" t="s">
        <v>42</v>
      </c>
      <c r="R147" s="30"/>
    </row>
    <row r="148" spans="1:18" ht="20.100000000000001" customHeight="1" x14ac:dyDescent="0.25">
      <c r="A148" s="30"/>
      <c r="B148" s="15" t="s">
        <v>118</v>
      </c>
      <c r="C148" s="30"/>
      <c r="D148" s="56" t="s">
        <v>428</v>
      </c>
      <c r="E148" s="24"/>
      <c r="F148" s="24"/>
      <c r="G148" s="24"/>
      <c r="H148" s="24"/>
      <c r="I148" s="24"/>
      <c r="J148" s="24"/>
      <c r="K148" s="25"/>
      <c r="L148" s="30"/>
      <c r="M148" s="30"/>
      <c r="N148" s="30"/>
      <c r="O148" s="15" t="str">
        <f>CONCATENATE("0x",DEC2HEX(HEX2DEC(MID($N$146,3,5))*4+1,6))</f>
        <v>0x0000B5</v>
      </c>
      <c r="P148" s="15" t="s">
        <v>111</v>
      </c>
      <c r="Q148" s="15" t="s">
        <v>42</v>
      </c>
      <c r="R148" s="30"/>
    </row>
    <row r="149" spans="1:18" ht="20.100000000000001" customHeight="1" x14ac:dyDescent="0.25">
      <c r="A149" s="31"/>
      <c r="B149" s="16" t="s">
        <v>118</v>
      </c>
      <c r="C149" s="31"/>
      <c r="D149" s="57" t="s">
        <v>429</v>
      </c>
      <c r="E149" s="47"/>
      <c r="F149" s="47"/>
      <c r="G149" s="48"/>
      <c r="H149" s="57" t="s">
        <v>430</v>
      </c>
      <c r="I149" s="47"/>
      <c r="J149" s="47"/>
      <c r="K149" s="48"/>
      <c r="L149" s="31"/>
      <c r="M149" s="31"/>
      <c r="N149" s="31"/>
      <c r="O149" s="16" t="str">
        <f>CONCATENATE("0x",DEC2HEX(HEX2DEC(MID($N$146,3,5))*4+0,6))</f>
        <v>0x0000B4</v>
      </c>
      <c r="P149" s="16" t="s">
        <v>111</v>
      </c>
      <c r="Q149" s="16" t="s">
        <v>42</v>
      </c>
      <c r="R149" s="31"/>
    </row>
    <row r="150" spans="1:18" ht="20.100000000000001" customHeight="1" x14ac:dyDescent="0.25">
      <c r="A150" s="51" t="s">
        <v>434</v>
      </c>
      <c r="B150" s="13" t="s">
        <v>49</v>
      </c>
      <c r="C150" s="51" t="s">
        <v>435</v>
      </c>
      <c r="D150" s="22"/>
      <c r="E150" s="22"/>
      <c r="F150" s="22"/>
      <c r="G150" s="22"/>
      <c r="H150" s="22"/>
      <c r="I150" s="22"/>
      <c r="J150" s="22"/>
      <c r="K150" s="22"/>
      <c r="L150" s="49" t="s">
        <v>436</v>
      </c>
      <c r="M150" s="49" t="s">
        <v>437</v>
      </c>
      <c r="N150" s="51" t="str">
        <f>CONCATENATE("0x",DEC2HEX(HEX2DEC(MID(Module_Address_Usage!$C$20,3,5))+HEX2DEC(MID($A150,3,5)),5))</f>
        <v>0x0002E</v>
      </c>
      <c r="O150" s="13" t="str">
        <f>CONCATENATE("0x",DEC2HEX(HEX2DEC(MID($N$150,3,5))*4+3,6))</f>
        <v>0x0000BB</v>
      </c>
      <c r="P150" s="13" t="s">
        <v>111</v>
      </c>
      <c r="Q150" s="13" t="s">
        <v>49</v>
      </c>
      <c r="R150" s="51" t="str">
        <f>CONCATENATE("0x",LEFT(DEC2HEX(HEX2DEC(MID(Module_Address_Usage!$C$18,3,8))+HEX2DEC(MID($N$150,3,5))*4+0,8),4),"_",RIGHT(DEC2HEX(HEX2DEC(MID(Module_Address_Usage!$C$18,3,8))+HEX2DEC(MID($N$150,3,5))*4+0,8),4))</f>
        <v>0x6000_00B8</v>
      </c>
    </row>
    <row r="151" spans="1:18" ht="20.100000000000001" customHeight="1" x14ac:dyDescent="0.25">
      <c r="A151" s="30"/>
      <c r="B151" s="15" t="s">
        <v>49</v>
      </c>
      <c r="C151" s="30"/>
      <c r="D151" s="17"/>
      <c r="E151" s="17"/>
      <c r="F151" s="17"/>
      <c r="G151" s="17"/>
      <c r="H151" s="17"/>
      <c r="I151" s="17"/>
      <c r="J151" s="17"/>
      <c r="K151" s="17"/>
      <c r="L151" s="30"/>
      <c r="M151" s="30"/>
      <c r="N151" s="30"/>
      <c r="O151" s="15" t="str">
        <f>CONCATENATE("0x",DEC2HEX(HEX2DEC(MID($N$150,3,5))*4+2,6))</f>
        <v>0x0000BA</v>
      </c>
      <c r="P151" s="15" t="s">
        <v>111</v>
      </c>
      <c r="Q151" s="15" t="s">
        <v>49</v>
      </c>
      <c r="R151" s="30"/>
    </row>
    <row r="152" spans="1:18" ht="20.100000000000001" customHeight="1" x14ac:dyDescent="0.25">
      <c r="A152" s="30"/>
      <c r="B152" s="15" t="s">
        <v>118</v>
      </c>
      <c r="C152" s="30"/>
      <c r="D152" s="17"/>
      <c r="E152" s="17"/>
      <c r="F152" s="17"/>
      <c r="G152" s="17"/>
      <c r="H152" s="17"/>
      <c r="I152" s="17"/>
      <c r="J152" s="15" t="s">
        <v>438</v>
      </c>
      <c r="K152" s="15" t="s">
        <v>439</v>
      </c>
      <c r="L152" s="30"/>
      <c r="M152" s="30"/>
      <c r="N152" s="30"/>
      <c r="O152" s="15" t="str">
        <f>CONCATENATE("0x",DEC2HEX(HEX2DEC(MID($N$150,3,5))*4+1,6))</f>
        <v>0x0000B9</v>
      </c>
      <c r="P152" s="15" t="s">
        <v>111</v>
      </c>
      <c r="Q152" s="15" t="s">
        <v>42</v>
      </c>
      <c r="R152" s="30"/>
    </row>
    <row r="153" spans="1:18" ht="20.100000000000001" customHeight="1" x14ac:dyDescent="0.25">
      <c r="A153" s="31"/>
      <c r="B153" s="16" t="s">
        <v>118</v>
      </c>
      <c r="C153" s="31"/>
      <c r="D153" s="16" t="s">
        <v>440</v>
      </c>
      <c r="E153" s="16" t="s">
        <v>441</v>
      </c>
      <c r="F153" s="16" t="s">
        <v>442</v>
      </c>
      <c r="G153" s="16" t="s">
        <v>443</v>
      </c>
      <c r="H153" s="16" t="s">
        <v>444</v>
      </c>
      <c r="I153" s="16" t="s">
        <v>445</v>
      </c>
      <c r="J153" s="16" t="s">
        <v>446</v>
      </c>
      <c r="K153" s="16" t="s">
        <v>447</v>
      </c>
      <c r="L153" s="31"/>
      <c r="M153" s="31"/>
      <c r="N153" s="31"/>
      <c r="O153" s="16" t="str">
        <f>CONCATENATE("0x",DEC2HEX(HEX2DEC(MID($N$150,3,5))*4+0,6))</f>
        <v>0x0000B8</v>
      </c>
      <c r="P153" s="16" t="s">
        <v>111</v>
      </c>
      <c r="Q153" s="16" t="s">
        <v>42</v>
      </c>
      <c r="R153" s="31"/>
    </row>
    <row r="154" spans="1:18" ht="20.100000000000001" customHeight="1" x14ac:dyDescent="0.25">
      <c r="A154" s="51" t="s">
        <v>448</v>
      </c>
      <c r="B154" s="13" t="s">
        <v>49</v>
      </c>
      <c r="C154" s="51" t="s">
        <v>449</v>
      </c>
      <c r="D154" s="22"/>
      <c r="E154" s="22"/>
      <c r="F154" s="22"/>
      <c r="G154" s="22"/>
      <c r="H154" s="22"/>
      <c r="I154" s="22"/>
      <c r="J154" s="22"/>
      <c r="K154" s="22"/>
      <c r="L154" s="49" t="s">
        <v>450</v>
      </c>
      <c r="M154" s="49" t="s">
        <v>451</v>
      </c>
      <c r="N154" s="51" t="str">
        <f>CONCATENATE("0x",DEC2HEX(HEX2DEC(MID(Module_Address_Usage!$C$20,3,5))+HEX2DEC(MID($A154,3,5)),5))</f>
        <v>0x0002F</v>
      </c>
      <c r="O154" s="13" t="str">
        <f>CONCATENATE("0x",DEC2HEX(HEX2DEC(MID($N$154,3,5))*4+3,6))</f>
        <v>0x0000BF</v>
      </c>
      <c r="P154" s="13" t="s">
        <v>111</v>
      </c>
      <c r="Q154" s="13" t="s">
        <v>49</v>
      </c>
      <c r="R154" s="51" t="str">
        <f>CONCATENATE("0x",LEFT(DEC2HEX(HEX2DEC(MID(Module_Address_Usage!$C$18,3,8))+HEX2DEC(MID($N$154,3,5))*4+0,8),4),"_",RIGHT(DEC2HEX(HEX2DEC(MID(Module_Address_Usage!$C$18,3,8))+HEX2DEC(MID($N$154,3,5))*4+0,8),4))</f>
        <v>0x6000_00BC</v>
      </c>
    </row>
    <row r="155" spans="1:18" ht="20.100000000000001" customHeight="1" x14ac:dyDescent="0.25">
      <c r="A155" s="30"/>
      <c r="B155" s="15" t="s">
        <v>49</v>
      </c>
      <c r="C155" s="30"/>
      <c r="D155" s="17"/>
      <c r="E155" s="17"/>
      <c r="F155" s="17"/>
      <c r="G155" s="17"/>
      <c r="H155" s="17"/>
      <c r="I155" s="17"/>
      <c r="J155" s="17"/>
      <c r="K155" s="17"/>
      <c r="L155" s="30"/>
      <c r="M155" s="30"/>
      <c r="N155" s="30"/>
      <c r="O155" s="15" t="str">
        <f>CONCATENATE("0x",DEC2HEX(HEX2DEC(MID($N$154,3,5))*4+2,6))</f>
        <v>0x0000BE</v>
      </c>
      <c r="P155" s="15" t="s">
        <v>111</v>
      </c>
      <c r="Q155" s="15" t="s">
        <v>49</v>
      </c>
      <c r="R155" s="30"/>
    </row>
    <row r="156" spans="1:18" ht="20.100000000000001" customHeight="1" x14ac:dyDescent="0.25">
      <c r="A156" s="30"/>
      <c r="B156" s="15" t="s">
        <v>49</v>
      </c>
      <c r="C156" s="30"/>
      <c r="D156" s="17"/>
      <c r="E156" s="17"/>
      <c r="F156" s="17"/>
      <c r="G156" s="17"/>
      <c r="H156" s="17"/>
      <c r="I156" s="17"/>
      <c r="J156" s="17"/>
      <c r="K156" s="17"/>
      <c r="L156" s="30"/>
      <c r="M156" s="30"/>
      <c r="N156" s="30"/>
      <c r="O156" s="15" t="str">
        <f>CONCATENATE("0x",DEC2HEX(HEX2DEC(MID($N$154,3,5))*4+1,6))</f>
        <v>0x0000BD</v>
      </c>
      <c r="P156" s="15" t="s">
        <v>111</v>
      </c>
      <c r="Q156" s="15" t="s">
        <v>49</v>
      </c>
      <c r="R156" s="30"/>
    </row>
    <row r="157" spans="1:18" ht="20.100000000000001" customHeight="1" x14ac:dyDescent="0.25">
      <c r="A157" s="31"/>
      <c r="B157" s="16" t="s">
        <v>112</v>
      </c>
      <c r="C157" s="31"/>
      <c r="D157" s="18"/>
      <c r="E157" s="18"/>
      <c r="F157" s="18"/>
      <c r="G157" s="18"/>
      <c r="H157" s="18"/>
      <c r="I157" s="18"/>
      <c r="J157" s="18"/>
      <c r="K157" s="16" t="s">
        <v>452</v>
      </c>
      <c r="L157" s="31"/>
      <c r="M157" s="31"/>
      <c r="N157" s="31"/>
      <c r="O157" s="16" t="str">
        <f>CONCATENATE("0x",DEC2HEX(HEX2DEC(MID($N$154,3,5))*4+0,6))</f>
        <v>0x0000BC</v>
      </c>
      <c r="P157" s="16" t="s">
        <v>138</v>
      </c>
      <c r="Q157" s="16" t="s">
        <v>42</v>
      </c>
      <c r="R157" s="31"/>
    </row>
    <row r="158" spans="1:18" ht="20.100000000000001" customHeight="1" x14ac:dyDescent="0.25">
      <c r="A158" s="51" t="s">
        <v>453</v>
      </c>
      <c r="B158" s="13" t="s">
        <v>118</v>
      </c>
      <c r="C158" s="51" t="s">
        <v>454</v>
      </c>
      <c r="D158" s="52" t="s">
        <v>423</v>
      </c>
      <c r="E158" s="53"/>
      <c r="F158" s="53"/>
      <c r="G158" s="53"/>
      <c r="H158" s="53"/>
      <c r="I158" s="53"/>
      <c r="J158" s="53"/>
      <c r="K158" s="54"/>
      <c r="L158" s="49" t="s">
        <v>455</v>
      </c>
      <c r="M158" s="49" t="s">
        <v>456</v>
      </c>
      <c r="N158" s="51" t="str">
        <f>CONCATENATE("0x",DEC2HEX(HEX2DEC(MID(Module_Address_Usage!$C$20,3,5))+HEX2DEC(MID($A158,3,5)),5))</f>
        <v>0x00030</v>
      </c>
      <c r="O158" s="13" t="str">
        <f>CONCATENATE("0x",DEC2HEX(HEX2DEC(MID($N$158,3,5))*4+3,6))</f>
        <v>0x0000C3</v>
      </c>
      <c r="P158" s="13" t="s">
        <v>111</v>
      </c>
      <c r="Q158" s="13" t="s">
        <v>42</v>
      </c>
      <c r="R158" s="51" t="str">
        <f>CONCATENATE("0x",LEFT(DEC2HEX(HEX2DEC(MID(Module_Address_Usage!$C$18,3,8))+HEX2DEC(MID($N$158,3,5))*4+0,8),4),"_",RIGHT(DEC2HEX(HEX2DEC(MID(Module_Address_Usage!$C$18,3,8))+HEX2DEC(MID($N$158,3,5))*4+0,8),4))</f>
        <v>0x6000_00C0</v>
      </c>
    </row>
    <row r="159" spans="1:18" ht="20.100000000000001" customHeight="1" x14ac:dyDescent="0.25">
      <c r="A159" s="30"/>
      <c r="B159" s="15" t="s">
        <v>118</v>
      </c>
      <c r="C159" s="30"/>
      <c r="D159" s="56" t="s">
        <v>426</v>
      </c>
      <c r="E159" s="24"/>
      <c r="F159" s="24"/>
      <c r="G159" s="24"/>
      <c r="H159" s="25"/>
      <c r="I159" s="56" t="s">
        <v>387</v>
      </c>
      <c r="J159" s="25"/>
      <c r="K159" s="15" t="s">
        <v>427</v>
      </c>
      <c r="L159" s="30"/>
      <c r="M159" s="30"/>
      <c r="N159" s="30"/>
      <c r="O159" s="15" t="str">
        <f>CONCATENATE("0x",DEC2HEX(HEX2DEC(MID($N$158,3,5))*4+2,6))</f>
        <v>0x0000C2</v>
      </c>
      <c r="P159" s="15" t="s">
        <v>111</v>
      </c>
      <c r="Q159" s="15" t="s">
        <v>42</v>
      </c>
      <c r="R159" s="30"/>
    </row>
    <row r="160" spans="1:18" ht="20.100000000000001" customHeight="1" x14ac:dyDescent="0.25">
      <c r="A160" s="30"/>
      <c r="B160" s="15" t="s">
        <v>118</v>
      </c>
      <c r="C160" s="30"/>
      <c r="D160" s="56" t="s">
        <v>428</v>
      </c>
      <c r="E160" s="24"/>
      <c r="F160" s="24"/>
      <c r="G160" s="24"/>
      <c r="H160" s="24"/>
      <c r="I160" s="24"/>
      <c r="J160" s="24"/>
      <c r="K160" s="25"/>
      <c r="L160" s="30"/>
      <c r="M160" s="30"/>
      <c r="N160" s="30"/>
      <c r="O160" s="15" t="str">
        <f>CONCATENATE("0x",DEC2HEX(HEX2DEC(MID($N$158,3,5))*4+1,6))</f>
        <v>0x0000C1</v>
      </c>
      <c r="P160" s="15" t="s">
        <v>111</v>
      </c>
      <c r="Q160" s="15" t="s">
        <v>42</v>
      </c>
      <c r="R160" s="30"/>
    </row>
    <row r="161" spans="1:18" ht="20.100000000000001" customHeight="1" x14ac:dyDescent="0.25">
      <c r="A161" s="31"/>
      <c r="B161" s="16" t="s">
        <v>118</v>
      </c>
      <c r="C161" s="31"/>
      <c r="D161" s="57" t="s">
        <v>429</v>
      </c>
      <c r="E161" s="47"/>
      <c r="F161" s="47"/>
      <c r="G161" s="48"/>
      <c r="H161" s="57" t="s">
        <v>430</v>
      </c>
      <c r="I161" s="47"/>
      <c r="J161" s="47"/>
      <c r="K161" s="48"/>
      <c r="L161" s="31"/>
      <c r="M161" s="31"/>
      <c r="N161" s="31"/>
      <c r="O161" s="16" t="str">
        <f>CONCATENATE("0x",DEC2HEX(HEX2DEC(MID($N$158,3,5))*4+0,6))</f>
        <v>0x0000C0</v>
      </c>
      <c r="P161" s="16" t="s">
        <v>111</v>
      </c>
      <c r="Q161" s="16" t="s">
        <v>42</v>
      </c>
      <c r="R161" s="31"/>
    </row>
    <row r="162" spans="1:18" ht="20.100000000000001" customHeight="1" x14ac:dyDescent="0.25">
      <c r="A162" s="51" t="s">
        <v>457</v>
      </c>
      <c r="B162" s="13" t="s">
        <v>49</v>
      </c>
      <c r="C162" s="51" t="s">
        <v>458</v>
      </c>
      <c r="D162" s="22"/>
      <c r="E162" s="22"/>
      <c r="F162" s="22"/>
      <c r="G162" s="22"/>
      <c r="H162" s="22"/>
      <c r="I162" s="22"/>
      <c r="J162" s="22"/>
      <c r="K162" s="22"/>
      <c r="L162" s="49" t="s">
        <v>459</v>
      </c>
      <c r="M162" s="49" t="s">
        <v>460</v>
      </c>
      <c r="N162" s="51" t="str">
        <f>CONCATENATE("0x",DEC2HEX(HEX2DEC(MID(Module_Address_Usage!$C$20,3,5))+HEX2DEC(MID($A162,3,5)),5))</f>
        <v>0x00031</v>
      </c>
      <c r="O162" s="13" t="str">
        <f>CONCATENATE("0x",DEC2HEX(HEX2DEC(MID($N$162,3,5))*4+3,6))</f>
        <v>0x0000C7</v>
      </c>
      <c r="P162" s="13" t="s">
        <v>111</v>
      </c>
      <c r="Q162" s="13" t="s">
        <v>49</v>
      </c>
      <c r="R162" s="51" t="str">
        <f>CONCATENATE("0x",LEFT(DEC2HEX(HEX2DEC(MID(Module_Address_Usage!$C$18,3,8))+HEX2DEC(MID($N$162,3,5))*4+0,8),4),"_",RIGHT(DEC2HEX(HEX2DEC(MID(Module_Address_Usage!$C$18,3,8))+HEX2DEC(MID($N$162,3,5))*4+0,8),4))</f>
        <v>0x6000_00C4</v>
      </c>
    </row>
    <row r="163" spans="1:18" ht="20.100000000000001" customHeight="1" x14ac:dyDescent="0.25">
      <c r="A163" s="30"/>
      <c r="B163" s="15" t="s">
        <v>49</v>
      </c>
      <c r="C163" s="30"/>
      <c r="D163" s="17"/>
      <c r="E163" s="17"/>
      <c r="F163" s="17"/>
      <c r="G163" s="17"/>
      <c r="H163" s="17"/>
      <c r="I163" s="17"/>
      <c r="J163" s="17"/>
      <c r="K163" s="17"/>
      <c r="L163" s="30"/>
      <c r="M163" s="30"/>
      <c r="N163" s="30"/>
      <c r="O163" s="15" t="str">
        <f>CONCATENATE("0x",DEC2HEX(HEX2DEC(MID($N$162,3,5))*4+2,6))</f>
        <v>0x0000C6</v>
      </c>
      <c r="P163" s="15" t="s">
        <v>111</v>
      </c>
      <c r="Q163" s="15" t="s">
        <v>49</v>
      </c>
      <c r="R163" s="30"/>
    </row>
    <row r="164" spans="1:18" ht="20.100000000000001" customHeight="1" x14ac:dyDescent="0.25">
      <c r="A164" s="30"/>
      <c r="B164" s="15" t="s">
        <v>49</v>
      </c>
      <c r="C164" s="30"/>
      <c r="D164" s="17"/>
      <c r="E164" s="17"/>
      <c r="F164" s="17"/>
      <c r="G164" s="17"/>
      <c r="H164" s="17"/>
      <c r="I164" s="17"/>
      <c r="J164" s="17"/>
      <c r="K164" s="17"/>
      <c r="L164" s="30"/>
      <c r="M164" s="30"/>
      <c r="N164" s="30"/>
      <c r="O164" s="15" t="str">
        <f>CONCATENATE("0x",DEC2HEX(HEX2DEC(MID($N$162,3,5))*4+1,6))</f>
        <v>0x0000C5</v>
      </c>
      <c r="P164" s="15" t="s">
        <v>111</v>
      </c>
      <c r="Q164" s="15" t="s">
        <v>49</v>
      </c>
      <c r="R164" s="30"/>
    </row>
    <row r="165" spans="1:18" ht="20.100000000000001" customHeight="1" x14ac:dyDescent="0.25">
      <c r="A165" s="31"/>
      <c r="B165" s="16" t="s">
        <v>112</v>
      </c>
      <c r="C165" s="31"/>
      <c r="D165" s="57" t="s">
        <v>461</v>
      </c>
      <c r="E165" s="47"/>
      <c r="F165" s="47"/>
      <c r="G165" s="47"/>
      <c r="H165" s="47"/>
      <c r="I165" s="47"/>
      <c r="J165" s="47"/>
      <c r="K165" s="48"/>
      <c r="L165" s="31"/>
      <c r="M165" s="31"/>
      <c r="N165" s="31"/>
      <c r="O165" s="16" t="str">
        <f>CONCATENATE("0x",DEC2HEX(HEX2DEC(MID($N$162,3,5))*4+0,6))</f>
        <v>0x0000C4</v>
      </c>
      <c r="P165" s="16" t="s">
        <v>462</v>
      </c>
      <c r="Q165" s="16" t="s">
        <v>42</v>
      </c>
      <c r="R165" s="31"/>
    </row>
    <row r="166" spans="1:18" ht="27" customHeight="1" x14ac:dyDescent="0.25">
      <c r="A166" s="12" t="s">
        <v>463</v>
      </c>
      <c r="B166" s="12" t="s">
        <v>49</v>
      </c>
      <c r="C166" s="12" t="s">
        <v>47</v>
      </c>
      <c r="D166" s="55"/>
      <c r="E166" s="27"/>
      <c r="F166" s="27"/>
      <c r="G166" s="27"/>
      <c r="H166" s="27"/>
      <c r="I166" s="27"/>
      <c r="J166" s="27"/>
      <c r="K166" s="28"/>
      <c r="L166" s="14" t="s">
        <v>47</v>
      </c>
      <c r="M166" s="14" t="s">
        <v>120</v>
      </c>
      <c r="N166" s="12" t="str">
        <f>CONCATENATE("0x",DEC2HEX(HEX2DEC(MID(Module_Address_Usage!$C$20,3,5))+HEX2DEC(MID($A166,3,5)),5))&amp;CHAR(10)&amp;"~ "&amp;CONCATENATE("0x",DEC2HEX(HEX2DEC(MID(Module_Address_Usage!$C$20,3,5))+HEX2DEC(MID($A166,13,5)),5))</f>
        <v>0x00032
~ 0x0003F</v>
      </c>
      <c r="O166" s="12" t="str">
        <f>CONCATENATE("0x",DEC2HEX(HEX2DEC(MID(CONCATENATE("0x",DEC2HEX(HEX2DEC(MID(Module_Address_Usage!$C$20,3,5))+HEX2DEC(MID($A166,3,5)),5)),3,5))*4+0,6))&amp;CHAR(10)&amp;"~ "&amp;CONCATENATE("0x",DEC2HEX(HEX2DEC(MID(CONCATENATE("0x",DEC2HEX(HEX2DEC(MID(Module_Address_Usage!$C$20,3,5))+HEX2DEC(MID($A166,13,5)),5)),3,5))*4+3,6))</f>
        <v>0x0000C8
~ 0x0000FF</v>
      </c>
      <c r="P166" s="12" t="s">
        <v>111</v>
      </c>
      <c r="Q166" s="12" t="s">
        <v>49</v>
      </c>
      <c r="R166" s="12" t="str">
        <f>CONCATENATE("0x",LEFT(DEC2HEX(HEX2DEC(MID(Module_Address_Usage!$C$18,3,8))+HEX2DEC(MID(CONCATENATE("0x",DEC2HEX(HEX2DEC(MID(Module_Address_Usage!$C$20,3,5))+HEX2DEC(MID($A166,3,5)),5)),3,5))*4+0,8),4),"_",RIGHT(DEC2HEX(HEX2DEC(MID(Module_Address_Usage!$C$18,3,8))+HEX2DEC(MID(CONCATENATE("0x",DEC2HEX(HEX2DEC(MID(Module_Address_Usage!$C$20,3,5))+HEX2DEC(MID($A166,3,5)),5)),3,5))*4+0,8),4))&amp;CHAR(10)&amp;"~ "&amp;CONCATENATE("0x",LEFT(DEC2HEX(HEX2DEC(MID(Module_Address_Usage!$C$18,3,8))+HEX2DEC(MID(CONCATENATE("0x",DEC2HEX(HEX2DEC(MID(Module_Address_Usage!$C$20,3,5))+HEX2DEC(MID($A166,13,5)),5)),3,5))*4+3,8),4),"_",RIGHT(DEC2HEX(HEX2DEC(MID(Module_Address_Usage!$C$18,3,8))+HEX2DEC(MID(CONCATENATE("0x",DEC2HEX(HEX2DEC(MID(Module_Address_Usage!$C$20,3,5))+HEX2DEC(MID($A166,13,5)),5)),3,5))*4+3,8),4))</f>
        <v>0x6000_00C8
~ 0x6000_00FF</v>
      </c>
    </row>
    <row r="167" spans="1:18" ht="20.100000000000001" customHeight="1" x14ac:dyDescent="0.25">
      <c r="A167" s="51" t="s">
        <v>464</v>
      </c>
      <c r="B167" s="13" t="s">
        <v>49</v>
      </c>
      <c r="C167" s="51" t="s">
        <v>465</v>
      </c>
      <c r="D167" s="22"/>
      <c r="E167" s="22"/>
      <c r="F167" s="22"/>
      <c r="G167" s="22"/>
      <c r="H167" s="22"/>
      <c r="I167" s="22"/>
      <c r="J167" s="22"/>
      <c r="K167" s="22"/>
      <c r="L167" s="49" t="s">
        <v>466</v>
      </c>
      <c r="M167" s="49" t="s">
        <v>467</v>
      </c>
      <c r="N167" s="51" t="str">
        <f>CONCATENATE("0x",DEC2HEX(HEX2DEC(MID(Module_Address_Usage!$C$20,3,5))+HEX2DEC(MID($A167,3,5)),5))</f>
        <v>0x00040</v>
      </c>
      <c r="O167" s="13" t="str">
        <f>CONCATENATE("0x",DEC2HEX(HEX2DEC(MID($N$167,3,5))*4+3,6))</f>
        <v>0x000103</v>
      </c>
      <c r="P167" s="13" t="s">
        <v>111</v>
      </c>
      <c r="Q167" s="13" t="s">
        <v>49</v>
      </c>
      <c r="R167" s="51" t="str">
        <f>CONCATENATE("0x",LEFT(DEC2HEX(HEX2DEC(MID(Module_Address_Usage!$C$18,3,8))+HEX2DEC(MID($N$167,3,5))*4+0,8),4),"_",RIGHT(DEC2HEX(HEX2DEC(MID(Module_Address_Usage!$C$18,3,8))+HEX2DEC(MID($N$167,3,5))*4+0,8),4))</f>
        <v>0x6000_0100</v>
      </c>
    </row>
    <row r="168" spans="1:18" ht="20.100000000000001" customHeight="1" x14ac:dyDescent="0.25">
      <c r="A168" s="30"/>
      <c r="B168" s="15" t="s">
        <v>49</v>
      </c>
      <c r="C168" s="30"/>
      <c r="D168" s="17"/>
      <c r="E168" s="17"/>
      <c r="F168" s="17"/>
      <c r="G168" s="17"/>
      <c r="H168" s="17"/>
      <c r="I168" s="17"/>
      <c r="J168" s="17"/>
      <c r="K168" s="17"/>
      <c r="L168" s="30"/>
      <c r="M168" s="30"/>
      <c r="N168" s="30"/>
      <c r="O168" s="15" t="str">
        <f>CONCATENATE("0x",DEC2HEX(HEX2DEC(MID($N$167,3,5))*4+2,6))</f>
        <v>0x000102</v>
      </c>
      <c r="P168" s="15" t="s">
        <v>111</v>
      </c>
      <c r="Q168" s="15" t="s">
        <v>49</v>
      </c>
      <c r="R168" s="30"/>
    </row>
    <row r="169" spans="1:18" ht="20.100000000000001" customHeight="1" x14ac:dyDescent="0.25">
      <c r="A169" s="30"/>
      <c r="B169" s="15" t="s">
        <v>112</v>
      </c>
      <c r="C169" s="30"/>
      <c r="D169" s="17"/>
      <c r="E169" s="17"/>
      <c r="F169" s="17"/>
      <c r="G169" s="17"/>
      <c r="H169" s="56" t="s">
        <v>468</v>
      </c>
      <c r="I169" s="24"/>
      <c r="J169" s="24"/>
      <c r="K169" s="25"/>
      <c r="L169" s="30"/>
      <c r="M169" s="30"/>
      <c r="N169" s="30"/>
      <c r="O169" s="15" t="str">
        <f>CONCATENATE("0x",DEC2HEX(HEX2DEC(MID($N$167,3,5))*4+1,6))</f>
        <v>0x000101</v>
      </c>
      <c r="P169" s="15" t="s">
        <v>138</v>
      </c>
      <c r="Q169" s="15" t="s">
        <v>42</v>
      </c>
      <c r="R169" s="30"/>
    </row>
    <row r="170" spans="1:18" ht="20.100000000000001" customHeight="1" x14ac:dyDescent="0.25">
      <c r="A170" s="31"/>
      <c r="B170" s="16" t="s">
        <v>112</v>
      </c>
      <c r="C170" s="31"/>
      <c r="D170" s="57" t="s">
        <v>469</v>
      </c>
      <c r="E170" s="47"/>
      <c r="F170" s="47"/>
      <c r="G170" s="47"/>
      <c r="H170" s="47"/>
      <c r="I170" s="47"/>
      <c r="J170" s="47"/>
      <c r="K170" s="48"/>
      <c r="L170" s="31"/>
      <c r="M170" s="31"/>
      <c r="N170" s="31"/>
      <c r="O170" s="16" t="str">
        <f>CONCATENATE("0x",DEC2HEX(HEX2DEC(MID($N$167,3,5))*4+0,6))</f>
        <v>0x000100</v>
      </c>
      <c r="P170" s="16" t="s">
        <v>138</v>
      </c>
      <c r="Q170" s="16" t="s">
        <v>42</v>
      </c>
      <c r="R170" s="31"/>
    </row>
    <row r="171" spans="1:18" ht="20.100000000000001" customHeight="1" x14ac:dyDescent="0.25">
      <c r="A171" s="51" t="s">
        <v>470</v>
      </c>
      <c r="B171" s="13" t="s">
        <v>49</v>
      </c>
      <c r="C171" s="51" t="s">
        <v>471</v>
      </c>
      <c r="D171" s="22"/>
      <c r="E171" s="22"/>
      <c r="F171" s="22"/>
      <c r="G171" s="22"/>
      <c r="H171" s="22"/>
      <c r="I171" s="22"/>
      <c r="J171" s="22"/>
      <c r="K171" s="22"/>
      <c r="L171" s="49" t="s">
        <v>472</v>
      </c>
      <c r="M171" s="49" t="s">
        <v>473</v>
      </c>
      <c r="N171" s="51" t="str">
        <f>CONCATENATE("0x",DEC2HEX(HEX2DEC(MID(Module_Address_Usage!$C$20,3,5))+HEX2DEC(MID($A171,3,5)),5))</f>
        <v>0x00041</v>
      </c>
      <c r="O171" s="13" t="str">
        <f>CONCATENATE("0x",DEC2HEX(HEX2DEC(MID($N$171,3,5))*4+3,6))</f>
        <v>0x000107</v>
      </c>
      <c r="P171" s="13" t="s">
        <v>111</v>
      </c>
      <c r="Q171" s="13" t="s">
        <v>49</v>
      </c>
      <c r="R171" s="51" t="str">
        <f>CONCATENATE("0x",LEFT(DEC2HEX(HEX2DEC(MID(Module_Address_Usage!$C$18,3,8))+HEX2DEC(MID($N$171,3,5))*4+0,8),4),"_",RIGHT(DEC2HEX(HEX2DEC(MID(Module_Address_Usage!$C$18,3,8))+HEX2DEC(MID($N$171,3,5))*4+0,8),4))</f>
        <v>0x6000_0104</v>
      </c>
    </row>
    <row r="172" spans="1:18" ht="20.100000000000001" customHeight="1" x14ac:dyDescent="0.25">
      <c r="A172" s="30"/>
      <c r="B172" s="15" t="s">
        <v>49</v>
      </c>
      <c r="C172" s="30"/>
      <c r="D172" s="17"/>
      <c r="E172" s="17"/>
      <c r="F172" s="17"/>
      <c r="G172" s="17"/>
      <c r="H172" s="17"/>
      <c r="I172" s="17"/>
      <c r="J172" s="17"/>
      <c r="K172" s="17"/>
      <c r="L172" s="30"/>
      <c r="M172" s="30"/>
      <c r="N172" s="30"/>
      <c r="O172" s="15" t="str">
        <f>CONCATENATE("0x",DEC2HEX(HEX2DEC(MID($N$171,3,5))*4+2,6))</f>
        <v>0x000106</v>
      </c>
      <c r="P172" s="15" t="s">
        <v>111</v>
      </c>
      <c r="Q172" s="15" t="s">
        <v>49</v>
      </c>
      <c r="R172" s="30"/>
    </row>
    <row r="173" spans="1:18" ht="20.100000000000001" customHeight="1" x14ac:dyDescent="0.25">
      <c r="A173" s="30"/>
      <c r="B173" s="15" t="s">
        <v>49</v>
      </c>
      <c r="C173" s="30"/>
      <c r="D173" s="17"/>
      <c r="E173" s="17"/>
      <c r="F173" s="17"/>
      <c r="G173" s="17"/>
      <c r="H173" s="17"/>
      <c r="I173" s="17"/>
      <c r="J173" s="17"/>
      <c r="K173" s="17"/>
      <c r="L173" s="30"/>
      <c r="M173" s="30"/>
      <c r="N173" s="30"/>
      <c r="O173" s="15" t="str">
        <f>CONCATENATE("0x",DEC2HEX(HEX2DEC(MID($N$171,3,5))*4+1,6))</f>
        <v>0x000105</v>
      </c>
      <c r="P173" s="15" t="s">
        <v>111</v>
      </c>
      <c r="Q173" s="15" t="s">
        <v>49</v>
      </c>
      <c r="R173" s="30"/>
    </row>
    <row r="174" spans="1:18" ht="20.100000000000001" customHeight="1" x14ac:dyDescent="0.25">
      <c r="A174" s="31"/>
      <c r="B174" s="16" t="s">
        <v>112</v>
      </c>
      <c r="C174" s="31"/>
      <c r="D174" s="18"/>
      <c r="E174" s="18"/>
      <c r="F174" s="18"/>
      <c r="G174" s="18"/>
      <c r="H174" s="18"/>
      <c r="I174" s="18"/>
      <c r="J174" s="18"/>
      <c r="K174" s="16" t="s">
        <v>471</v>
      </c>
      <c r="L174" s="31"/>
      <c r="M174" s="31"/>
      <c r="N174" s="31"/>
      <c r="O174" s="16" t="str">
        <f>CONCATENATE("0x",DEC2HEX(HEX2DEC(MID($N$171,3,5))*4+0,6))</f>
        <v>0x000104</v>
      </c>
      <c r="P174" s="16" t="s">
        <v>138</v>
      </c>
      <c r="Q174" s="16" t="s">
        <v>42</v>
      </c>
      <c r="R174" s="31"/>
    </row>
    <row r="175" spans="1:18" ht="20.100000000000001" customHeight="1" x14ac:dyDescent="0.25">
      <c r="A175" s="51" t="s">
        <v>474</v>
      </c>
      <c r="B175" s="13" t="s">
        <v>112</v>
      </c>
      <c r="C175" s="51" t="s">
        <v>475</v>
      </c>
      <c r="D175" s="52" t="s">
        <v>476</v>
      </c>
      <c r="E175" s="53"/>
      <c r="F175" s="53"/>
      <c r="G175" s="53"/>
      <c r="H175" s="53"/>
      <c r="I175" s="53"/>
      <c r="J175" s="53"/>
      <c r="K175" s="54"/>
      <c r="L175" s="49" t="s">
        <v>477</v>
      </c>
      <c r="M175" s="49" t="s">
        <v>478</v>
      </c>
      <c r="N175" s="51" t="str">
        <f>CONCATENATE("0x",DEC2HEX(HEX2DEC(MID(Module_Address_Usage!$C$20,3,5))+HEX2DEC(MID($A175,3,5)),5))</f>
        <v>0x00042</v>
      </c>
      <c r="O175" s="13" t="str">
        <f>CONCATENATE("0x",DEC2HEX(HEX2DEC(MID($N$175,3,5))*4+3,6))</f>
        <v>0x00010B</v>
      </c>
      <c r="P175" s="13" t="s">
        <v>138</v>
      </c>
      <c r="Q175" s="13" t="s">
        <v>42</v>
      </c>
      <c r="R175" s="51" t="str">
        <f>CONCATENATE("0x",LEFT(DEC2HEX(HEX2DEC(MID(Module_Address_Usage!$C$18,3,8))+HEX2DEC(MID($N$175,3,5))*4+0,8),4),"_",RIGHT(DEC2HEX(HEX2DEC(MID(Module_Address_Usage!$C$18,3,8))+HEX2DEC(MID($N$175,3,5))*4+0,8),4))</f>
        <v>0x6000_0108</v>
      </c>
    </row>
    <row r="176" spans="1:18" ht="20.100000000000001" customHeight="1" x14ac:dyDescent="0.25">
      <c r="A176" s="30"/>
      <c r="B176" s="15" t="s">
        <v>112</v>
      </c>
      <c r="C176" s="30"/>
      <c r="D176" s="56" t="s">
        <v>479</v>
      </c>
      <c r="E176" s="24"/>
      <c r="F176" s="24"/>
      <c r="G176" s="24"/>
      <c r="H176" s="24"/>
      <c r="I176" s="24"/>
      <c r="J176" s="24"/>
      <c r="K176" s="25"/>
      <c r="L176" s="30"/>
      <c r="M176" s="30"/>
      <c r="N176" s="30"/>
      <c r="O176" s="15" t="str">
        <f>CONCATENATE("0x",DEC2HEX(HEX2DEC(MID($N$175,3,5))*4+2,6))</f>
        <v>0x00010A</v>
      </c>
      <c r="P176" s="15" t="s">
        <v>138</v>
      </c>
      <c r="Q176" s="15" t="s">
        <v>42</v>
      </c>
      <c r="R176" s="30"/>
    </row>
    <row r="177" spans="1:18" ht="20.100000000000001" customHeight="1" x14ac:dyDescent="0.25">
      <c r="A177" s="30"/>
      <c r="B177" s="15" t="s">
        <v>112</v>
      </c>
      <c r="C177" s="30"/>
      <c r="D177" s="56" t="s">
        <v>480</v>
      </c>
      <c r="E177" s="24"/>
      <c r="F177" s="24"/>
      <c r="G177" s="24"/>
      <c r="H177" s="24"/>
      <c r="I177" s="24"/>
      <c r="J177" s="24"/>
      <c r="K177" s="25"/>
      <c r="L177" s="30"/>
      <c r="M177" s="30"/>
      <c r="N177" s="30"/>
      <c r="O177" s="15" t="str">
        <f>CONCATENATE("0x",DEC2HEX(HEX2DEC(MID($N$175,3,5))*4+1,6))</f>
        <v>0x000109</v>
      </c>
      <c r="P177" s="15" t="s">
        <v>138</v>
      </c>
      <c r="Q177" s="15" t="s">
        <v>42</v>
      </c>
      <c r="R177" s="30"/>
    </row>
    <row r="178" spans="1:18" ht="20.100000000000001" customHeight="1" x14ac:dyDescent="0.25">
      <c r="A178" s="31"/>
      <c r="B178" s="16" t="s">
        <v>112</v>
      </c>
      <c r="C178" s="31"/>
      <c r="D178" s="57" t="s">
        <v>481</v>
      </c>
      <c r="E178" s="47"/>
      <c r="F178" s="47"/>
      <c r="G178" s="47"/>
      <c r="H178" s="47"/>
      <c r="I178" s="47"/>
      <c r="J178" s="47"/>
      <c r="K178" s="48"/>
      <c r="L178" s="31"/>
      <c r="M178" s="31"/>
      <c r="N178" s="31"/>
      <c r="O178" s="16" t="str">
        <f>CONCATENATE("0x",DEC2HEX(HEX2DEC(MID($N$175,3,5))*4+0,6))</f>
        <v>0x000108</v>
      </c>
      <c r="P178" s="16" t="s">
        <v>138</v>
      </c>
      <c r="Q178" s="16" t="s">
        <v>42</v>
      </c>
      <c r="R178" s="31"/>
    </row>
    <row r="179" spans="1:18" ht="27" customHeight="1" x14ac:dyDescent="0.25">
      <c r="A179" s="12" t="s">
        <v>482</v>
      </c>
      <c r="B179" s="12" t="s">
        <v>49</v>
      </c>
      <c r="C179" s="12" t="s">
        <v>47</v>
      </c>
      <c r="D179" s="55"/>
      <c r="E179" s="27"/>
      <c r="F179" s="27"/>
      <c r="G179" s="27"/>
      <c r="H179" s="27"/>
      <c r="I179" s="27"/>
      <c r="J179" s="27"/>
      <c r="K179" s="28"/>
      <c r="L179" s="14" t="s">
        <v>47</v>
      </c>
      <c r="M179" s="14" t="s">
        <v>120</v>
      </c>
      <c r="N179" s="12" t="str">
        <f>CONCATENATE("0x",DEC2HEX(HEX2DEC(MID(Module_Address_Usage!$C$20,3,5))+HEX2DEC(MID($A179,3,5)),5))&amp;CHAR(10)&amp;"~ "&amp;CONCATENATE("0x",DEC2HEX(HEX2DEC(MID(Module_Address_Usage!$C$20,3,5))+HEX2DEC(MID($A179,13,5)),5))</f>
        <v>0x00043
~ 0x0004F</v>
      </c>
      <c r="O179" s="12" t="str">
        <f>CONCATENATE("0x",DEC2HEX(HEX2DEC(MID(CONCATENATE("0x",DEC2HEX(HEX2DEC(MID(Module_Address_Usage!$C$20,3,5))+HEX2DEC(MID($A179,3,5)),5)),3,5))*4+0,6))&amp;CHAR(10)&amp;"~ "&amp;CONCATENATE("0x",DEC2HEX(HEX2DEC(MID(CONCATENATE("0x",DEC2HEX(HEX2DEC(MID(Module_Address_Usage!$C$20,3,5))+HEX2DEC(MID($A179,13,5)),5)),3,5))*4+3,6))</f>
        <v>0x00010C
~ 0x00013F</v>
      </c>
      <c r="P179" s="12" t="s">
        <v>111</v>
      </c>
      <c r="Q179" s="12" t="s">
        <v>49</v>
      </c>
      <c r="R179" s="12" t="str">
        <f>CONCATENATE("0x",LEFT(DEC2HEX(HEX2DEC(MID(Module_Address_Usage!$C$18,3,8))+HEX2DEC(MID(CONCATENATE("0x",DEC2HEX(HEX2DEC(MID(Module_Address_Usage!$C$20,3,5))+HEX2DEC(MID($A179,3,5)),5)),3,5))*4+0,8),4),"_",RIGHT(DEC2HEX(HEX2DEC(MID(Module_Address_Usage!$C$18,3,8))+HEX2DEC(MID(CONCATENATE("0x",DEC2HEX(HEX2DEC(MID(Module_Address_Usage!$C$20,3,5))+HEX2DEC(MID($A179,3,5)),5)),3,5))*4+0,8),4))&amp;CHAR(10)&amp;"~ "&amp;CONCATENATE("0x",LEFT(DEC2HEX(HEX2DEC(MID(Module_Address_Usage!$C$18,3,8))+HEX2DEC(MID(CONCATENATE("0x",DEC2HEX(HEX2DEC(MID(Module_Address_Usage!$C$20,3,5))+HEX2DEC(MID($A179,13,5)),5)),3,5))*4+3,8),4),"_",RIGHT(DEC2HEX(HEX2DEC(MID(Module_Address_Usage!$C$18,3,8))+HEX2DEC(MID(CONCATENATE("0x",DEC2HEX(HEX2DEC(MID(Module_Address_Usage!$C$20,3,5))+HEX2DEC(MID($A179,13,5)),5)),3,5))*4+3,8),4))</f>
        <v>0x6000_010C
~ 0x6000_013F</v>
      </c>
    </row>
    <row r="180" spans="1:18" ht="20.100000000000001" customHeight="1" x14ac:dyDescent="0.25">
      <c r="A180" s="51" t="s">
        <v>483</v>
      </c>
      <c r="B180" s="13" t="s">
        <v>49</v>
      </c>
      <c r="C180" s="51" t="s">
        <v>484</v>
      </c>
      <c r="D180" s="22"/>
      <c r="E180" s="22"/>
      <c r="F180" s="22"/>
      <c r="G180" s="22"/>
      <c r="H180" s="22"/>
      <c r="I180" s="22"/>
      <c r="J180" s="22"/>
      <c r="K180" s="22"/>
      <c r="L180" s="49" t="s">
        <v>485</v>
      </c>
      <c r="M180" s="49" t="s">
        <v>486</v>
      </c>
      <c r="N180" s="51" t="str">
        <f>CONCATENATE("0x",DEC2HEX(HEX2DEC(MID(Module_Address_Usage!$C$20,3,5))+HEX2DEC(MID($A180,3,5)),5))</f>
        <v>0x00050</v>
      </c>
      <c r="O180" s="13" t="str">
        <f>CONCATENATE("0x",DEC2HEX(HEX2DEC(MID($N$180,3,5))*4+3,6))</f>
        <v>0x000143</v>
      </c>
      <c r="P180" s="13" t="s">
        <v>111</v>
      </c>
      <c r="Q180" s="13" t="s">
        <v>49</v>
      </c>
      <c r="R180" s="51" t="str">
        <f>CONCATENATE("0x",LEFT(DEC2HEX(HEX2DEC(MID(Module_Address_Usage!$C$18,3,8))+HEX2DEC(MID($N$180,3,5))*4+0,8),4),"_",RIGHT(DEC2HEX(HEX2DEC(MID(Module_Address_Usage!$C$18,3,8))+HEX2DEC(MID($N$180,3,5))*4+0,8),4))</f>
        <v>0x6000_0140</v>
      </c>
    </row>
    <row r="181" spans="1:18" ht="20.100000000000001" customHeight="1" x14ac:dyDescent="0.25">
      <c r="A181" s="30"/>
      <c r="B181" s="15" t="s">
        <v>49</v>
      </c>
      <c r="C181" s="30"/>
      <c r="D181" s="17"/>
      <c r="E181" s="17"/>
      <c r="F181" s="17"/>
      <c r="G181" s="17"/>
      <c r="H181" s="17"/>
      <c r="I181" s="17"/>
      <c r="J181" s="17"/>
      <c r="K181" s="17"/>
      <c r="L181" s="30"/>
      <c r="M181" s="30"/>
      <c r="N181" s="30"/>
      <c r="O181" s="15" t="str">
        <f>CONCATENATE("0x",DEC2HEX(HEX2DEC(MID($N$180,3,5))*4+2,6))</f>
        <v>0x000142</v>
      </c>
      <c r="P181" s="15" t="s">
        <v>111</v>
      </c>
      <c r="Q181" s="15" t="s">
        <v>49</v>
      </c>
      <c r="R181" s="30"/>
    </row>
    <row r="182" spans="1:18" ht="20.100000000000001" customHeight="1" x14ac:dyDescent="0.25">
      <c r="A182" s="30"/>
      <c r="B182" s="15" t="s">
        <v>118</v>
      </c>
      <c r="C182" s="30"/>
      <c r="D182" s="17"/>
      <c r="E182" s="17"/>
      <c r="F182" s="17"/>
      <c r="G182" s="15" t="s">
        <v>487</v>
      </c>
      <c r="H182" s="56" t="s">
        <v>488</v>
      </c>
      <c r="I182" s="24"/>
      <c r="J182" s="24"/>
      <c r="K182" s="25"/>
      <c r="L182" s="30"/>
      <c r="M182" s="30"/>
      <c r="N182" s="30"/>
      <c r="O182" s="15" t="str">
        <f>CONCATENATE("0x",DEC2HEX(HEX2DEC(MID($N$180,3,5))*4+1,6))</f>
        <v>0x000141</v>
      </c>
      <c r="P182" s="15" t="s">
        <v>111</v>
      </c>
      <c r="Q182" s="15" t="s">
        <v>42</v>
      </c>
      <c r="R182" s="30"/>
    </row>
    <row r="183" spans="1:18" ht="20.100000000000001" customHeight="1" x14ac:dyDescent="0.25">
      <c r="A183" s="31"/>
      <c r="B183" s="16" t="s">
        <v>118</v>
      </c>
      <c r="C183" s="31"/>
      <c r="D183" s="57" t="s">
        <v>489</v>
      </c>
      <c r="E183" s="47"/>
      <c r="F183" s="47"/>
      <c r="G183" s="47"/>
      <c r="H183" s="47"/>
      <c r="I183" s="47"/>
      <c r="J183" s="47"/>
      <c r="K183" s="48"/>
      <c r="L183" s="31"/>
      <c r="M183" s="31"/>
      <c r="N183" s="31"/>
      <c r="O183" s="16" t="str">
        <f>CONCATENATE("0x",DEC2HEX(HEX2DEC(MID($N$180,3,5))*4+0,6))</f>
        <v>0x000140</v>
      </c>
      <c r="P183" s="16" t="s">
        <v>111</v>
      </c>
      <c r="Q183" s="16" t="s">
        <v>42</v>
      </c>
      <c r="R183" s="31"/>
    </row>
    <row r="184" spans="1:18" ht="20.100000000000001" customHeight="1" x14ac:dyDescent="0.25">
      <c r="A184" s="51" t="s">
        <v>490</v>
      </c>
      <c r="B184" s="13" t="s">
        <v>49</v>
      </c>
      <c r="C184" s="51" t="s">
        <v>491</v>
      </c>
      <c r="D184" s="22"/>
      <c r="E184" s="22"/>
      <c r="F184" s="22"/>
      <c r="G184" s="22"/>
      <c r="H184" s="22"/>
      <c r="I184" s="22"/>
      <c r="J184" s="22"/>
      <c r="K184" s="22"/>
      <c r="L184" s="49" t="s">
        <v>492</v>
      </c>
      <c r="M184" s="49" t="s">
        <v>493</v>
      </c>
      <c r="N184" s="51" t="str">
        <f>CONCATENATE("0x",DEC2HEX(HEX2DEC(MID(Module_Address_Usage!$C$20,3,5))+HEX2DEC(MID($A184,3,5)),5))</f>
        <v>0x00051</v>
      </c>
      <c r="O184" s="13" t="str">
        <f>CONCATENATE("0x",DEC2HEX(HEX2DEC(MID($N$184,3,5))*4+3,6))</f>
        <v>0x000147</v>
      </c>
      <c r="P184" s="13" t="s">
        <v>111</v>
      </c>
      <c r="Q184" s="13" t="s">
        <v>49</v>
      </c>
      <c r="R184" s="51" t="str">
        <f>CONCATENATE("0x",LEFT(DEC2HEX(HEX2DEC(MID(Module_Address_Usage!$C$18,3,8))+HEX2DEC(MID($N$184,3,5))*4+0,8),4),"_",RIGHT(DEC2HEX(HEX2DEC(MID(Module_Address_Usage!$C$18,3,8))+HEX2DEC(MID($N$184,3,5))*4+0,8),4))</f>
        <v>0x6000_0144</v>
      </c>
    </row>
    <row r="185" spans="1:18" ht="20.100000000000001" customHeight="1" x14ac:dyDescent="0.25">
      <c r="A185" s="30"/>
      <c r="B185" s="15" t="s">
        <v>49</v>
      </c>
      <c r="C185" s="30"/>
      <c r="D185" s="17"/>
      <c r="E185" s="17"/>
      <c r="F185" s="17"/>
      <c r="G185" s="17"/>
      <c r="H185" s="17"/>
      <c r="I185" s="17"/>
      <c r="J185" s="17"/>
      <c r="K185" s="17"/>
      <c r="L185" s="30"/>
      <c r="M185" s="30"/>
      <c r="N185" s="30"/>
      <c r="O185" s="15" t="str">
        <f>CONCATENATE("0x",DEC2HEX(HEX2DEC(MID($N$184,3,5))*4+2,6))</f>
        <v>0x000146</v>
      </c>
      <c r="P185" s="15" t="s">
        <v>111</v>
      </c>
      <c r="Q185" s="15" t="s">
        <v>49</v>
      </c>
      <c r="R185" s="30"/>
    </row>
    <row r="186" spans="1:18" ht="20.100000000000001" customHeight="1" x14ac:dyDescent="0.25">
      <c r="A186" s="30"/>
      <c r="B186" s="15" t="s">
        <v>49</v>
      </c>
      <c r="C186" s="30"/>
      <c r="D186" s="17"/>
      <c r="E186" s="17"/>
      <c r="F186" s="17"/>
      <c r="G186" s="17"/>
      <c r="H186" s="17"/>
      <c r="I186" s="17"/>
      <c r="J186" s="17"/>
      <c r="K186" s="17"/>
      <c r="L186" s="30"/>
      <c r="M186" s="30"/>
      <c r="N186" s="30"/>
      <c r="O186" s="15" t="str">
        <f>CONCATENATE("0x",DEC2HEX(HEX2DEC(MID($N$184,3,5))*4+1,6))</f>
        <v>0x000145</v>
      </c>
      <c r="P186" s="15" t="s">
        <v>111</v>
      </c>
      <c r="Q186" s="15" t="s">
        <v>49</v>
      </c>
      <c r="R186" s="30"/>
    </row>
    <row r="187" spans="1:18" ht="20.100000000000001" customHeight="1" x14ac:dyDescent="0.25">
      <c r="A187" s="31"/>
      <c r="B187" s="16" t="s">
        <v>112</v>
      </c>
      <c r="C187" s="31"/>
      <c r="D187" s="18"/>
      <c r="E187" s="18"/>
      <c r="F187" s="18"/>
      <c r="G187" s="18"/>
      <c r="H187" s="18"/>
      <c r="I187" s="18"/>
      <c r="J187" s="18"/>
      <c r="K187" s="16" t="s">
        <v>491</v>
      </c>
      <c r="L187" s="31"/>
      <c r="M187" s="31"/>
      <c r="N187" s="31"/>
      <c r="O187" s="16" t="str">
        <f>CONCATENATE("0x",DEC2HEX(HEX2DEC(MID($N$184,3,5))*4+0,6))</f>
        <v>0x000144</v>
      </c>
      <c r="P187" s="16" t="s">
        <v>138</v>
      </c>
      <c r="Q187" s="16" t="s">
        <v>42</v>
      </c>
      <c r="R187" s="31"/>
    </row>
    <row r="188" spans="1:18" ht="20.100000000000001" customHeight="1" x14ac:dyDescent="0.25">
      <c r="A188" s="51" t="s">
        <v>494</v>
      </c>
      <c r="B188" s="13" t="s">
        <v>112</v>
      </c>
      <c r="C188" s="51" t="s">
        <v>495</v>
      </c>
      <c r="D188" s="52" t="s">
        <v>496</v>
      </c>
      <c r="E188" s="53"/>
      <c r="F188" s="53"/>
      <c r="G188" s="53"/>
      <c r="H188" s="53"/>
      <c r="I188" s="53"/>
      <c r="J188" s="53"/>
      <c r="K188" s="54"/>
      <c r="L188" s="49" t="s">
        <v>497</v>
      </c>
      <c r="M188" s="49" t="s">
        <v>498</v>
      </c>
      <c r="N188" s="51" t="str">
        <f>CONCATENATE("0x",DEC2HEX(HEX2DEC(MID(Module_Address_Usage!$C$20,3,5))+HEX2DEC(MID($A188,3,5)),5))</f>
        <v>0x00052</v>
      </c>
      <c r="O188" s="13" t="str">
        <f>CONCATENATE("0x",DEC2HEX(HEX2DEC(MID($N$188,3,5))*4+3,6))</f>
        <v>0x00014B</v>
      </c>
      <c r="P188" s="13" t="s">
        <v>138</v>
      </c>
      <c r="Q188" s="13" t="s">
        <v>42</v>
      </c>
      <c r="R188" s="51" t="str">
        <f>CONCATENATE("0x",LEFT(DEC2HEX(HEX2DEC(MID(Module_Address_Usage!$C$18,3,8))+HEX2DEC(MID($N$188,3,5))*4+0,8),4),"_",RIGHT(DEC2HEX(HEX2DEC(MID(Module_Address_Usage!$C$18,3,8))+HEX2DEC(MID($N$188,3,5))*4+0,8),4))</f>
        <v>0x6000_0148</v>
      </c>
    </row>
    <row r="189" spans="1:18" ht="20.100000000000001" customHeight="1" x14ac:dyDescent="0.25">
      <c r="A189" s="30"/>
      <c r="B189" s="15" t="s">
        <v>112</v>
      </c>
      <c r="C189" s="30"/>
      <c r="D189" s="56" t="s">
        <v>499</v>
      </c>
      <c r="E189" s="24"/>
      <c r="F189" s="24"/>
      <c r="G189" s="24"/>
      <c r="H189" s="24"/>
      <c r="I189" s="24"/>
      <c r="J189" s="24"/>
      <c r="K189" s="25"/>
      <c r="L189" s="30"/>
      <c r="M189" s="30"/>
      <c r="N189" s="30"/>
      <c r="O189" s="15" t="str">
        <f>CONCATENATE("0x",DEC2HEX(HEX2DEC(MID($N$188,3,5))*4+2,6))</f>
        <v>0x00014A</v>
      </c>
      <c r="P189" s="15" t="s">
        <v>138</v>
      </c>
      <c r="Q189" s="15" t="s">
        <v>42</v>
      </c>
      <c r="R189" s="30"/>
    </row>
    <row r="190" spans="1:18" ht="20.100000000000001" customHeight="1" x14ac:dyDescent="0.25">
      <c r="A190" s="30"/>
      <c r="B190" s="15" t="s">
        <v>112</v>
      </c>
      <c r="C190" s="30"/>
      <c r="D190" s="56" t="s">
        <v>500</v>
      </c>
      <c r="E190" s="24"/>
      <c r="F190" s="24"/>
      <c r="G190" s="24"/>
      <c r="H190" s="24"/>
      <c r="I190" s="24"/>
      <c r="J190" s="24"/>
      <c r="K190" s="25"/>
      <c r="L190" s="30"/>
      <c r="M190" s="30"/>
      <c r="N190" s="30"/>
      <c r="O190" s="15" t="str">
        <f>CONCATENATE("0x",DEC2HEX(HEX2DEC(MID($N$188,3,5))*4+1,6))</f>
        <v>0x000149</v>
      </c>
      <c r="P190" s="15" t="s">
        <v>138</v>
      </c>
      <c r="Q190" s="15" t="s">
        <v>42</v>
      </c>
      <c r="R190" s="30"/>
    </row>
    <row r="191" spans="1:18" ht="20.100000000000001" customHeight="1" x14ac:dyDescent="0.25">
      <c r="A191" s="31"/>
      <c r="B191" s="16" t="s">
        <v>112</v>
      </c>
      <c r="C191" s="31"/>
      <c r="D191" s="57" t="s">
        <v>501</v>
      </c>
      <c r="E191" s="47"/>
      <c r="F191" s="47"/>
      <c r="G191" s="47"/>
      <c r="H191" s="47"/>
      <c r="I191" s="47"/>
      <c r="J191" s="47"/>
      <c r="K191" s="48"/>
      <c r="L191" s="31"/>
      <c r="M191" s="31"/>
      <c r="N191" s="31"/>
      <c r="O191" s="16" t="str">
        <f>CONCATENATE("0x",DEC2HEX(HEX2DEC(MID($N$188,3,5))*4+0,6))</f>
        <v>0x000148</v>
      </c>
      <c r="P191" s="16" t="s">
        <v>138</v>
      </c>
      <c r="Q191" s="16" t="s">
        <v>42</v>
      </c>
      <c r="R191" s="31"/>
    </row>
    <row r="192" spans="1:18" ht="27" customHeight="1" x14ac:dyDescent="0.25">
      <c r="A192" s="12" t="s">
        <v>502</v>
      </c>
      <c r="B192" s="12" t="s">
        <v>49</v>
      </c>
      <c r="C192" s="12" t="s">
        <v>47</v>
      </c>
      <c r="D192" s="55"/>
      <c r="E192" s="27"/>
      <c r="F192" s="27"/>
      <c r="G192" s="27"/>
      <c r="H192" s="27"/>
      <c r="I192" s="27"/>
      <c r="J192" s="27"/>
      <c r="K192" s="28"/>
      <c r="L192" s="14" t="s">
        <v>47</v>
      </c>
      <c r="M192" s="14" t="s">
        <v>503</v>
      </c>
      <c r="N192" s="12" t="str">
        <f>CONCATENATE("0x",DEC2HEX(HEX2DEC(MID(Module_Address_Usage!$C$20,3,5))+HEX2DEC(MID($A192,3,5)),5))&amp;CHAR(10)&amp;"~ "&amp;CONCATENATE("0x",DEC2HEX(HEX2DEC(MID(Module_Address_Usage!$C$20,3,5))+HEX2DEC(MID($A192,13,5)),5))</f>
        <v>0x00053
~ 0x000FF</v>
      </c>
      <c r="O192" s="12" t="str">
        <f>CONCATENATE("0x",DEC2HEX(HEX2DEC(MID(CONCATENATE("0x",DEC2HEX(HEX2DEC(MID(Module_Address_Usage!$C$20,3,5))+HEX2DEC(MID($A192,3,5)),5)),3,5))*4+0,6))&amp;CHAR(10)&amp;"~ "&amp;CONCATENATE("0x",DEC2HEX(HEX2DEC(MID(CONCATENATE("0x",DEC2HEX(HEX2DEC(MID(Module_Address_Usage!$C$20,3,5))+HEX2DEC(MID($A192,13,5)),5)),3,5))*4+3,6))</f>
        <v>0x00014C
~ 0x0003FF</v>
      </c>
      <c r="P192" s="12" t="s">
        <v>111</v>
      </c>
      <c r="Q192" s="12" t="s">
        <v>49</v>
      </c>
      <c r="R192" s="12" t="str">
        <f>CONCATENATE("0x",LEFT(DEC2HEX(HEX2DEC(MID(Module_Address_Usage!$C$18,3,8))+HEX2DEC(MID(CONCATENATE("0x",DEC2HEX(HEX2DEC(MID(Module_Address_Usage!$C$20,3,5))+HEX2DEC(MID($A192,3,5)),5)),3,5))*4+0,8),4),"_",RIGHT(DEC2HEX(HEX2DEC(MID(Module_Address_Usage!$C$18,3,8))+HEX2DEC(MID(CONCATENATE("0x",DEC2HEX(HEX2DEC(MID(Module_Address_Usage!$C$20,3,5))+HEX2DEC(MID($A192,3,5)),5)),3,5))*4+0,8),4))&amp;CHAR(10)&amp;"~ "&amp;CONCATENATE("0x",LEFT(DEC2HEX(HEX2DEC(MID(Module_Address_Usage!$C$18,3,8))+HEX2DEC(MID(CONCATENATE("0x",DEC2HEX(HEX2DEC(MID(Module_Address_Usage!$C$20,3,5))+HEX2DEC(MID($A192,13,5)),5)),3,5))*4+3,8),4),"_",RIGHT(DEC2HEX(HEX2DEC(MID(Module_Address_Usage!$C$18,3,8))+HEX2DEC(MID(CONCATENATE("0x",DEC2HEX(HEX2DEC(MID(Module_Address_Usage!$C$20,3,5))+HEX2DEC(MID($A192,13,5)),5)),3,5))*4+3,8),4))</f>
        <v>0x6000_014C
~ 0x6000_03FF</v>
      </c>
    </row>
  </sheetData>
  <mergeCells count="368">
    <mergeCell ref="C162:C165"/>
    <mergeCell ref="M51:M54"/>
    <mergeCell ref="D188:K188"/>
    <mergeCell ref="A171:A174"/>
    <mergeCell ref="H169:K169"/>
    <mergeCell ref="L158:L161"/>
    <mergeCell ref="D71:K71"/>
    <mergeCell ref="D58:K58"/>
    <mergeCell ref="A121:A124"/>
    <mergeCell ref="H182:K182"/>
    <mergeCell ref="H111:K111"/>
    <mergeCell ref="A55:A58"/>
    <mergeCell ref="A134:A137"/>
    <mergeCell ref="L184:L187"/>
    <mergeCell ref="C184:C187"/>
    <mergeCell ref="D179:K179"/>
    <mergeCell ref="M184:M187"/>
    <mergeCell ref="C81:C84"/>
    <mergeCell ref="C180:C183"/>
    <mergeCell ref="C167:C170"/>
    <mergeCell ref="C138:C141"/>
    <mergeCell ref="R146:R149"/>
    <mergeCell ref="C126:C129"/>
    <mergeCell ref="C142:C145"/>
    <mergeCell ref="A101:A104"/>
    <mergeCell ref="A81:A84"/>
    <mergeCell ref="M1:M4"/>
    <mergeCell ref="D183:K183"/>
    <mergeCell ref="L93:L96"/>
    <mergeCell ref="L85:L88"/>
    <mergeCell ref="N13:N16"/>
    <mergeCell ref="A17:A20"/>
    <mergeCell ref="M77:M80"/>
    <mergeCell ref="D137:K137"/>
    <mergeCell ref="D67:K67"/>
    <mergeCell ref="L175:L178"/>
    <mergeCell ref="N175:N178"/>
    <mergeCell ref="M59:M62"/>
    <mergeCell ref="N21:N24"/>
    <mergeCell ref="D159:H159"/>
    <mergeCell ref="C171:C174"/>
    <mergeCell ref="D11:K11"/>
    <mergeCell ref="B1:B4"/>
    <mergeCell ref="D5:K8"/>
    <mergeCell ref="A13:A16"/>
    <mergeCell ref="O5:O8"/>
    <mergeCell ref="Q5:Q8"/>
    <mergeCell ref="R17:R20"/>
    <mergeCell ref="R188:R191"/>
    <mergeCell ref="R126:R129"/>
    <mergeCell ref="M154:M157"/>
    <mergeCell ref="D62:K62"/>
    <mergeCell ref="L35:L38"/>
    <mergeCell ref="L59:L62"/>
    <mergeCell ref="N59:N62"/>
    <mergeCell ref="D64:K64"/>
    <mergeCell ref="L101:L104"/>
    <mergeCell ref="N30:N33"/>
    <mergeCell ref="N101:N104"/>
    <mergeCell ref="L150:L153"/>
    <mergeCell ref="H28:K28"/>
    <mergeCell ref="N150:N153"/>
    <mergeCell ref="D138:K138"/>
    <mergeCell ref="R51:R54"/>
    <mergeCell ref="M30:M33"/>
    <mergeCell ref="H123:K123"/>
    <mergeCell ref="M175:M178"/>
    <mergeCell ref="M162:M165"/>
    <mergeCell ref="N113:N116"/>
    <mergeCell ref="R158:R161"/>
    <mergeCell ref="L39:L42"/>
    <mergeCell ref="C105:C108"/>
    <mergeCell ref="C43:C46"/>
    <mergeCell ref="M101:M104"/>
    <mergeCell ref="D12:K12"/>
    <mergeCell ref="M150:M153"/>
    <mergeCell ref="D9:K9"/>
    <mergeCell ref="R154:R157"/>
    <mergeCell ref="R85:R88"/>
    <mergeCell ref="M13:M16"/>
    <mergeCell ref="R35:R38"/>
    <mergeCell ref="R134:R137"/>
    <mergeCell ref="N142:N145"/>
    <mergeCell ref="L109:L112"/>
    <mergeCell ref="D68:K68"/>
    <mergeCell ref="M146:M149"/>
    <mergeCell ref="C101:C104"/>
    <mergeCell ref="D69:K69"/>
    <mergeCell ref="N81:N84"/>
    <mergeCell ref="C85:C88"/>
    <mergeCell ref="D140:K140"/>
    <mergeCell ref="R89:R92"/>
    <mergeCell ref="D141:K141"/>
    <mergeCell ref="N184:N187"/>
    <mergeCell ref="N1:R2"/>
    <mergeCell ref="A30:A33"/>
    <mergeCell ref="A1:A4"/>
    <mergeCell ref="C30:C33"/>
    <mergeCell ref="A146:A149"/>
    <mergeCell ref="N3:O3"/>
    <mergeCell ref="C146:C149"/>
    <mergeCell ref="H53:K53"/>
    <mergeCell ref="C121:C124"/>
    <mergeCell ref="N39:N42"/>
    <mergeCell ref="M105:M108"/>
    <mergeCell ref="D149:G149"/>
    <mergeCell ref="R97:R100"/>
    <mergeCell ref="L162:L165"/>
    <mergeCell ref="R72:R75"/>
    <mergeCell ref="H79:K79"/>
    <mergeCell ref="Q3:Q4"/>
    <mergeCell ref="D108:I108"/>
    <mergeCell ref="M171:M174"/>
    <mergeCell ref="L146:L149"/>
    <mergeCell ref="R162:R165"/>
    <mergeCell ref="L121:L124"/>
    <mergeCell ref="N121:N124"/>
    <mergeCell ref="R109:R112"/>
    <mergeCell ref="R9:R12"/>
    <mergeCell ref="L13:L16"/>
    <mergeCell ref="D34:K34"/>
    <mergeCell ref="P3:P4"/>
    <mergeCell ref="R180:R183"/>
    <mergeCell ref="D177:K177"/>
    <mergeCell ref="R167:R170"/>
    <mergeCell ref="N55:N58"/>
    <mergeCell ref="R117:R120"/>
    <mergeCell ref="M121:M124"/>
    <mergeCell ref="D178:K178"/>
    <mergeCell ref="M39:M42"/>
    <mergeCell ref="L134:L137"/>
    <mergeCell ref="N134:N137"/>
    <mergeCell ref="H145:K145"/>
    <mergeCell ref="D175:K175"/>
    <mergeCell ref="D125:K125"/>
    <mergeCell ref="R3:R4"/>
    <mergeCell ref="D112:K112"/>
    <mergeCell ref="R93:R96"/>
    <mergeCell ref="M21:M24"/>
    <mergeCell ref="M134:M137"/>
    <mergeCell ref="D176:K176"/>
    <mergeCell ref="R105:R108"/>
    <mergeCell ref="R43:R46"/>
    <mergeCell ref="D54:K54"/>
    <mergeCell ref="N51:N54"/>
    <mergeCell ref="A105:A108"/>
    <mergeCell ref="L30:L33"/>
    <mergeCell ref="M17:M20"/>
    <mergeCell ref="A39:A42"/>
    <mergeCell ref="R64:R67"/>
    <mergeCell ref="C68:C71"/>
    <mergeCell ref="A35:A38"/>
    <mergeCell ref="M89:M92"/>
    <mergeCell ref="R21:R24"/>
    <mergeCell ref="M26:M29"/>
    <mergeCell ref="E107:K107"/>
    <mergeCell ref="A51:A54"/>
    <mergeCell ref="M35:M38"/>
    <mergeCell ref="D65:K65"/>
    <mergeCell ref="A93:A96"/>
    <mergeCell ref="A68:A71"/>
    <mergeCell ref="A43:A46"/>
    <mergeCell ref="A59:A62"/>
    <mergeCell ref="C39:C42"/>
    <mergeCell ref="M64:M67"/>
    <mergeCell ref="N188:N191"/>
    <mergeCell ref="N126:N129"/>
    <mergeCell ref="R59:R62"/>
    <mergeCell ref="L142:L145"/>
    <mergeCell ref="L171:L174"/>
    <mergeCell ref="M126:M129"/>
    <mergeCell ref="L81:L84"/>
    <mergeCell ref="H115:K115"/>
    <mergeCell ref="R130:R133"/>
    <mergeCell ref="N89:N92"/>
    <mergeCell ref="N138:N141"/>
    <mergeCell ref="L105:L108"/>
    <mergeCell ref="R138:R141"/>
    <mergeCell ref="M142:M145"/>
    <mergeCell ref="D191:K191"/>
    <mergeCell ref="N171:N174"/>
    <mergeCell ref="L167:L170"/>
    <mergeCell ref="I159:J159"/>
    <mergeCell ref="N158:N161"/>
    <mergeCell ref="D136:K136"/>
    <mergeCell ref="M158:M161"/>
    <mergeCell ref="D134:K134"/>
    <mergeCell ref="D147:H147"/>
    <mergeCell ref="D143:H143"/>
    <mergeCell ref="N77:N80"/>
    <mergeCell ref="C21:C24"/>
    <mergeCell ref="M81:M84"/>
    <mergeCell ref="D70:K70"/>
    <mergeCell ref="L113:L116"/>
    <mergeCell ref="C9:C12"/>
    <mergeCell ref="D124:K124"/>
    <mergeCell ref="E84:F84"/>
    <mergeCell ref="C55:C58"/>
    <mergeCell ref="H119:K119"/>
    <mergeCell ref="C13:C16"/>
    <mergeCell ref="N5:N8"/>
    <mergeCell ref="L51:L54"/>
    <mergeCell ref="R26:R29"/>
    <mergeCell ref="N64:N67"/>
    <mergeCell ref="C59:C62"/>
    <mergeCell ref="L9:L12"/>
    <mergeCell ref="M72:M75"/>
    <mergeCell ref="M47:M50"/>
    <mergeCell ref="L68:L71"/>
    <mergeCell ref="N68:N71"/>
    <mergeCell ref="L43:L46"/>
    <mergeCell ref="N43:N46"/>
    <mergeCell ref="N26:N29"/>
    <mergeCell ref="L47:L50"/>
    <mergeCell ref="N72:N75"/>
    <mergeCell ref="L17:L20"/>
    <mergeCell ref="C64:C67"/>
    <mergeCell ref="N35:N38"/>
    <mergeCell ref="M5:M8"/>
    <mergeCell ref="C5:C8"/>
    <mergeCell ref="N17:N20"/>
    <mergeCell ref="R68:R71"/>
    <mergeCell ref="P5:P8"/>
    <mergeCell ref="R5:R8"/>
    <mergeCell ref="R30:R33"/>
    <mergeCell ref="R101:R104"/>
    <mergeCell ref="R150:R153"/>
    <mergeCell ref="R175:R178"/>
    <mergeCell ref="D145:G145"/>
    <mergeCell ref="R13:R16"/>
    <mergeCell ref="D10:K10"/>
    <mergeCell ref="C26:C29"/>
    <mergeCell ref="C51:C54"/>
    <mergeCell ref="R81:R84"/>
    <mergeCell ref="M85:M88"/>
    <mergeCell ref="J83:K83"/>
    <mergeCell ref="H161:K161"/>
    <mergeCell ref="C154:C157"/>
    <mergeCell ref="D144:K144"/>
    <mergeCell ref="C175:C178"/>
    <mergeCell ref="D129:K129"/>
    <mergeCell ref="N85:N88"/>
    <mergeCell ref="D165:K165"/>
    <mergeCell ref="M97:M100"/>
    <mergeCell ref="N93:N96"/>
    <mergeCell ref="N105:N108"/>
    <mergeCell ref="I147:J147"/>
    <mergeCell ref="N162:N165"/>
    <mergeCell ref="N109:N112"/>
    <mergeCell ref="R142:R145"/>
    <mergeCell ref="N47:N50"/>
    <mergeCell ref="D139:K139"/>
    <mergeCell ref="N180:N183"/>
    <mergeCell ref="C113:C116"/>
    <mergeCell ref="M113:M116"/>
    <mergeCell ref="N167:N170"/>
    <mergeCell ref="R55:R58"/>
    <mergeCell ref="L117:L120"/>
    <mergeCell ref="L55:L58"/>
    <mergeCell ref="D76:K76"/>
    <mergeCell ref="N117:N120"/>
    <mergeCell ref="D170:K170"/>
    <mergeCell ref="D120:K120"/>
    <mergeCell ref="J108:K108"/>
    <mergeCell ref="N130:N133"/>
    <mergeCell ref="L138:L141"/>
    <mergeCell ref="D160:K160"/>
    <mergeCell ref="C134:C137"/>
    <mergeCell ref="C109:C112"/>
    <mergeCell ref="C97:C100"/>
    <mergeCell ref="L97:L100"/>
    <mergeCell ref="N97:N100"/>
    <mergeCell ref="C188:C191"/>
    <mergeCell ref="A142:A145"/>
    <mergeCell ref="C47:C50"/>
    <mergeCell ref="C89:C92"/>
    <mergeCell ref="A64:A67"/>
    <mergeCell ref="A21:A24"/>
    <mergeCell ref="C1:C4"/>
    <mergeCell ref="C93:C96"/>
    <mergeCell ref="L180:L183"/>
    <mergeCell ref="L5:L8"/>
    <mergeCell ref="B5:B8"/>
    <mergeCell ref="L126:L129"/>
    <mergeCell ref="A175:A178"/>
    <mergeCell ref="C150:C153"/>
    <mergeCell ref="C158:C161"/>
    <mergeCell ref="A138:A141"/>
    <mergeCell ref="A117:A120"/>
    <mergeCell ref="A130:A133"/>
    <mergeCell ref="D135:K135"/>
    <mergeCell ref="A113:A116"/>
    <mergeCell ref="D146:K146"/>
    <mergeCell ref="A154:A157"/>
    <mergeCell ref="A162:A165"/>
    <mergeCell ref="D190:K190"/>
    <mergeCell ref="D192:K192"/>
    <mergeCell ref="L21:L24"/>
    <mergeCell ref="A77:A80"/>
    <mergeCell ref="C77:C80"/>
    <mergeCell ref="M130:M133"/>
    <mergeCell ref="M93:M96"/>
    <mergeCell ref="M68:M71"/>
    <mergeCell ref="D148:K148"/>
    <mergeCell ref="D50:K50"/>
    <mergeCell ref="M43:M46"/>
    <mergeCell ref="D161:G161"/>
    <mergeCell ref="M188:M191"/>
    <mergeCell ref="L89:L92"/>
    <mergeCell ref="A158:A161"/>
    <mergeCell ref="L64:L67"/>
    <mergeCell ref="A150:A153"/>
    <mergeCell ref="D25:K25"/>
    <mergeCell ref="H61:K61"/>
    <mergeCell ref="L188:L191"/>
    <mergeCell ref="D189:K189"/>
    <mergeCell ref="A85:A88"/>
    <mergeCell ref="D66:K66"/>
    <mergeCell ref="I143:J143"/>
    <mergeCell ref="A188:A191"/>
    <mergeCell ref="R184:R187"/>
    <mergeCell ref="A72:A75"/>
    <mergeCell ref="C72:C75"/>
    <mergeCell ref="L26:L29"/>
    <mergeCell ref="C130:C133"/>
    <mergeCell ref="R47:R50"/>
    <mergeCell ref="H49:K49"/>
    <mergeCell ref="R171:R174"/>
    <mergeCell ref="M180:M183"/>
    <mergeCell ref="M167:M170"/>
    <mergeCell ref="M117:M120"/>
    <mergeCell ref="M55:M58"/>
    <mergeCell ref="M109:M112"/>
    <mergeCell ref="D158:K158"/>
    <mergeCell ref="A184:A187"/>
    <mergeCell ref="R77:R80"/>
    <mergeCell ref="L77:L80"/>
    <mergeCell ref="R39:R42"/>
    <mergeCell ref="H57:K57"/>
    <mergeCell ref="L154:L157"/>
    <mergeCell ref="H149:K149"/>
    <mergeCell ref="D63:K63"/>
    <mergeCell ref="M138:M141"/>
    <mergeCell ref="D116:K116"/>
    <mergeCell ref="L1:L4"/>
    <mergeCell ref="L72:L75"/>
    <mergeCell ref="A5:A8"/>
    <mergeCell ref="N146:N149"/>
    <mergeCell ref="A109:A112"/>
    <mergeCell ref="A9:A12"/>
    <mergeCell ref="A47:A50"/>
    <mergeCell ref="A180:A183"/>
    <mergeCell ref="R121:R124"/>
    <mergeCell ref="A167:A170"/>
    <mergeCell ref="N154:N157"/>
    <mergeCell ref="D142:K142"/>
    <mergeCell ref="N9:N12"/>
    <mergeCell ref="D166:K166"/>
    <mergeCell ref="A26:A29"/>
    <mergeCell ref="R113:R116"/>
    <mergeCell ref="A97:A100"/>
    <mergeCell ref="M9:M12"/>
    <mergeCell ref="C35:C38"/>
    <mergeCell ref="A89:A92"/>
    <mergeCell ref="L130:L133"/>
    <mergeCell ref="C117:C120"/>
    <mergeCell ref="A126:A129"/>
    <mergeCell ref="C17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Revision_History</vt:lpstr>
      <vt:lpstr>Memory_Map</vt:lpstr>
      <vt:lpstr>Module_Address_Usage</vt:lpstr>
      <vt:lpstr>SYSCTRL</vt:lpstr>
      <vt:lpstr>MISC</vt:lpstr>
      <vt:lpstr>ARINC_717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Bình Nguyễn Đức</cp:lastModifiedBy>
  <dcterms:created xsi:type="dcterms:W3CDTF">2026-10-24T13:13:39Z</dcterms:created>
  <dcterms:modified xsi:type="dcterms:W3CDTF">2026-10-26T02:05:21Z</dcterms:modified>
</cp:coreProperties>
</file>