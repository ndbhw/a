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" yWindow="2820" windowWidth="21600" windowHeight="11190" tabRatio="600" firstSheet="0" activeTab="3" autoFilterDateGrouping="1"/>
  </bookViews>
  <sheets>
    <sheet xmlns:r="http://schemas.openxmlformats.org/officeDocument/2006/relationships" name="Revision_History" sheetId="1" state="visible" r:id="rId1"/>
    <sheet xmlns:r="http://schemas.openxmlformats.org/officeDocument/2006/relationships" name="Memory_Map" sheetId="2" state="visible" r:id="rId2"/>
    <sheet xmlns:r="http://schemas.openxmlformats.org/officeDocument/2006/relationships" name="Module_Address_Usage" sheetId="3" state="visible" r:id="rId3"/>
    <sheet xmlns:r="http://schemas.openxmlformats.org/officeDocument/2006/relationships" name="ARINC_71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0000FF"/>
      <sz val="14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FFCCFFCC"/>
      </patternFill>
    </fill>
    <fill>
      <patternFill patternType="solid">
        <fgColor rgb="FFFFC000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rgb="FF0000FF"/>
      </top>
      <bottom style="double">
        <color rgb="FF0000FF"/>
      </bottom>
      <diagonal/>
    </border>
    <border>
      <left style="thin">
        <color auto="1"/>
      </left>
      <right style="thin">
        <color auto="1"/>
      </right>
      <top style="double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FF"/>
      </bottom>
      <diagonal/>
    </border>
    <border>
      <left/>
      <right/>
      <top style="double">
        <color rgb="FF0000FF"/>
      </top>
      <bottom style="double">
        <color rgb="FF0000FF"/>
      </bottom>
      <diagonal/>
    </border>
    <border>
      <left/>
      <right style="thin">
        <color auto="1"/>
      </right>
      <top style="double">
        <color rgb="FF0000FF"/>
      </top>
      <bottom style="double">
        <color rgb="FF0000FF"/>
      </bottom>
      <diagonal/>
    </border>
    <border>
      <left/>
      <right/>
      <top style="thin">
        <color auto="1"/>
      </top>
      <bottom style="double">
        <color rgb="FF0000FF"/>
      </bottom>
      <diagonal/>
    </border>
    <border>
      <left/>
      <right style="thin">
        <color auto="1"/>
      </right>
      <top style="thin">
        <color auto="1"/>
      </top>
      <bottom style="double">
        <color rgb="FF0000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rgb="FF0000FF"/>
      </top>
      <bottom style="thin">
        <color auto="1"/>
      </bottom>
      <diagonal/>
    </border>
    <border>
      <left/>
      <right style="thin">
        <color auto="1"/>
      </right>
      <top style="double">
        <color rgb="FF0000FF"/>
      </top>
      <bottom style="thin">
        <color auto="1"/>
      </bottom>
      <diagonal/>
    </border>
    <border>
      <left/>
      <right/>
      <top style="double">
        <color rgb="FF0000FF"/>
      </top>
      <bottom/>
      <diagonal/>
    </border>
    <border>
      <left/>
      <right style="thin">
        <color auto="1"/>
      </right>
      <top style="double">
        <color rgb="FF0000FF"/>
      </top>
      <bottom/>
      <diagonal/>
    </border>
  </borders>
  <cellStyleXfs count="1">
    <xf numFmtId="0" fontId="0" fillId="0" borderId="16"/>
  </cellStyleXfs>
  <cellXfs count="5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49" fontId="2" fillId="0" borderId="1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left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5" borderId="19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5" borderId="2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20" pivotButton="0" quotePrefix="0" xfId="0"/>
    <xf numFmtId="0" fontId="2" fillId="3" borderId="6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0" borderId="18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4" borderId="6" applyAlignment="1" pivotButton="0" quotePrefix="0" xfId="0">
      <alignment horizontal="center" vertical="center" wrapText="1"/>
    </xf>
    <xf numFmtId="0" fontId="0" fillId="0" borderId="13" pivotButton="0" quotePrefix="0" xfId="0"/>
    <xf numFmtId="0" fontId="2" fillId="3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5" borderId="18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" fillId="0" borderId="21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6" pivotButton="0" quotePrefix="0" xfId="0"/>
    <xf numFmtId="0" fontId="2" fillId="0" borderId="19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1" fillId="0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6"/>
  <sheetViews>
    <sheetView workbookViewId="0">
      <selection activeCell="E19" sqref="E19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16" customWidth="1" min="4" max="4"/>
    <col width="90" customWidth="1" min="5" max="5"/>
  </cols>
  <sheetData>
    <row r="1">
      <c r="B1" s="52" t="inlineStr">
        <is>
          <t>ARINC FPGA (SYSTEM_TOP) Register Map</t>
        </is>
      </c>
      <c r="C1" s="48" t="n"/>
      <c r="D1" s="48" t="n"/>
      <c r="E1" s="36" t="n"/>
    </row>
    <row r="2">
      <c r="B2" s="1" t="inlineStr">
        <is>
          <t>No.</t>
        </is>
      </c>
      <c r="C2" s="1" t="inlineStr">
        <is>
          <t>Date</t>
        </is>
      </c>
      <c r="D2" s="1" t="inlineStr">
        <is>
          <t>Author</t>
        </is>
      </c>
      <c r="E2" s="1" t="inlineStr">
        <is>
          <t>Modification Details</t>
        </is>
      </c>
    </row>
    <row r="3" ht="30" customHeight="1">
      <c r="B3" s="2" t="n">
        <v>1</v>
      </c>
      <c r="C3" s="2" t="inlineStr">
        <is>
          <t>2026.10.24</t>
        </is>
      </c>
      <c r="D3" s="2" t="n"/>
      <c r="E3" s="3" t="inlineStr">
        <is>
          <t>Draft: register map</t>
        </is>
      </c>
    </row>
    <row r="4" ht="30" customHeight="1">
      <c r="B4" s="2" t="n">
        <v>2</v>
      </c>
      <c r="C4" s="2" t="inlineStr">
        <is>
          <t>2026.10.26</t>
        </is>
      </c>
      <c r="D4" s="2" t="n"/>
      <c r="E4" s="3" t="inlineStr">
        <is>
          <t>ARINC_717: split into sub-cores per Core717 spec Table 24 (Offset Word Address = block-relative; Word = module base + sub-core Base Address + offset)</t>
        </is>
      </c>
    </row>
    <row r="5" ht="30" customHeight="1">
      <c r="B5" s="2" t="n">
        <v>3</v>
      </c>
      <c r="C5" s="2" t="inlineStr">
        <is>
          <t>2026.10.26</t>
        </is>
      </c>
      <c r="D5" s="2" t="n"/>
      <c r="E5" s="3" t="inlineStr">
        <is>
          <t>Removed SYSCTRL and MISC sheets; Memory_Map and Module_Address_Usage reduced to DUT_ARINC_717</t>
        </is>
      </c>
    </row>
    <row r="6" ht="30" customHeight="1">
      <c r="B6" s="2" t="n">
        <v>4</v>
      </c>
      <c r="C6" s="2" t="inlineStr">
        <is>
          <t>2026.10.26</t>
        </is>
      </c>
      <c r="D6" s="2" t="n"/>
      <c r="E6" s="3" t="inlineStr">
        <is>
          <t>ARINC_717: reset values of CORE_VERSION/TX_STATUS/RX_STATUS; added access (SLVERR), clear conditions, reserved bits and usage notes from Core717 spec rev1.85</t>
        </is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"/>
  <sheetViews>
    <sheetView topLeftCell="A27" workbookViewId="0">
      <selection activeCell="B45" sqref="B45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9" customWidth="1" min="4" max="4"/>
    <col width="28" customWidth="1" min="5" max="5"/>
    <col width="60" customWidth="1" min="6" max="6"/>
  </cols>
  <sheetData>
    <row r="1">
      <c r="B1" s="4" t="inlineStr">
        <is>
          <t>1. ARINC (Zynq-7000, SYSTEM_TOP) PS memory map - PL slaves</t>
        </is>
      </c>
    </row>
    <row r="2">
      <c r="B2" s="1" t="inlineStr">
        <is>
          <t>Device</t>
        </is>
      </c>
      <c r="C2" s="1" t="inlineStr">
        <is>
          <t>Start Address</t>
        </is>
      </c>
      <c r="D2" s="1" t="inlineStr">
        <is>
          <t>Size</t>
        </is>
      </c>
      <c r="E2" s="1" t="inlineStr">
        <is>
          <t>Address region</t>
        </is>
      </c>
      <c r="F2" s="1" t="inlineStr">
        <is>
          <t>Description</t>
        </is>
      </c>
    </row>
    <row r="3" ht="30" customHeight="1">
      <c r="B3" s="3" t="inlineStr">
        <is>
          <t>M01_AXI_0
(DUT_test_wrapper)</t>
        </is>
      </c>
      <c r="C3" s="2" t="inlineStr">
        <is>
          <t>0x5000_0000</t>
        </is>
      </c>
      <c r="D3" s="2" t="inlineStr">
        <is>
          <t>128KB</t>
        </is>
      </c>
      <c r="E3" s="3" t="inlineStr">
        <is>
          <t>0x5000_0000 ~ 0x5001_FFFF</t>
        </is>
      </c>
      <c r="F3" s="3" t="inlineStr">
        <is>
          <t>DUT_test: axi_clock_converter -&gt; axi_bram_ctrl -&gt; blk_mem_gen (memory, no registers)</t>
        </is>
      </c>
    </row>
    <row r="4" ht="30" customHeight="1">
      <c r="B4" s="3" t="inlineStr">
        <is>
          <t>DUT_ARINC_717
(Core717 AXI4-Lite)</t>
        </is>
      </c>
      <c r="C4" s="2" t="inlineStr">
        <is>
          <t>0x6000_0000</t>
        </is>
      </c>
      <c r="D4" s="2" t="inlineStr">
        <is>
          <t>1KB</t>
        </is>
      </c>
      <c r="E4" s="3" t="inlineStr">
        <is>
          <t>0x6000_0000 ~ 0x6000_03FF</t>
        </is>
      </c>
      <c r="F4" s="3" t="inlineStr">
        <is>
          <t>ARINC 717 core (Core717): registers + TX/RX data ports in 0x000 ~ 0x14F (base_addr = 0x6000_0000), 0x150 ~ 0x3FF outside the core window (SLVERR)
(see Module_Address_Usage, ARINC_717)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0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1" customWidth="1" min="3" max="4"/>
    <col width="10" customWidth="1" min="5" max="5"/>
    <col width="7" customWidth="1" min="6" max="6"/>
    <col width="11" customWidth="1" min="7" max="8"/>
    <col width="13" customWidth="1" min="9" max="10"/>
    <col width="34" customWidth="1" min="11" max="11"/>
  </cols>
  <sheetData>
    <row r="1" ht="18.4" customHeight="1">
      <c r="B1" s="5">
        <f>"DUT_ARINC_717 (Base address: "&amp;$C$2&amp;") - Core717 AXI4-Lite address decode"</f>
        <v/>
      </c>
    </row>
    <row r="2">
      <c r="B2" s="1" t="inlineStr">
        <is>
          <t>PS Base Address
(base_addr)</t>
        </is>
      </c>
      <c r="C2" s="6" t="inlineStr">
        <is>
          <t>0x60000000</t>
        </is>
      </c>
    </row>
    <row r="3" ht="27" customHeight="1">
      <c r="B3" s="1" t="inlineStr">
        <is>
          <t>Module
Name</t>
        </is>
      </c>
      <c r="C3" s="1" t="inlineStr">
        <is>
          <t>Word Start</t>
        </is>
      </c>
      <c r="D3" s="1" t="inlineStr">
        <is>
          <t>Word End</t>
        </is>
      </c>
      <c r="E3" s="1" t="inlineStr">
        <is>
          <t>Size(Byte)</t>
        </is>
      </c>
      <c r="F3" s="1" t="inlineStr">
        <is>
          <t>Usage</t>
        </is>
      </c>
      <c r="G3" s="1" t="inlineStr">
        <is>
          <t>Byte Start</t>
        </is>
      </c>
      <c r="H3" s="1" t="inlineStr">
        <is>
          <t>Byte End</t>
        </is>
      </c>
      <c r="I3" s="1" t="inlineStr">
        <is>
          <t>PS Byte Start</t>
        </is>
      </c>
      <c r="J3" s="1" t="inlineStr">
        <is>
          <t>PS Byte End</t>
        </is>
      </c>
      <c r="K3" s="1" t="inlineStr">
        <is>
          <t>Source</t>
        </is>
      </c>
    </row>
    <row r="4" ht="25.5" customHeight="1">
      <c r="B4" s="2" t="inlineStr">
        <is>
          <t>DUT_ARINC_717</t>
        </is>
      </c>
      <c r="C4" s="2" t="inlineStr">
        <is>
          <t>0x00000</t>
        </is>
      </c>
      <c r="D4" s="2" t="inlineStr">
        <is>
          <t>0x000FF</t>
        </is>
      </c>
      <c r="E4" s="2">
        <f>((HEX2DEC(MID(D4,3,5))+1)-HEX2DEC(MID(C4,3,5)))*4</f>
        <v/>
      </c>
      <c r="F4" s="2" t="inlineStr">
        <is>
          <t>O</t>
        </is>
      </c>
      <c r="G4" s="2">
        <f>CONCATENATE("0x",DEC2HEX(HEX2DEC(MID(C4,3,5))*4,6))</f>
        <v/>
      </c>
      <c r="H4" s="2">
        <f>CONCATENATE("0x",DEC2HEX(HEX2DEC(MID(D4,3,5))*4+3,6))</f>
        <v/>
      </c>
      <c r="I4" s="2">
        <f>CONCATENATE("0x",LEFT(DEC2HEX(HEX2DEC(MID($C$2,3,8))+HEX2DEC(MID(G4,3,6)),8),4),"_",RIGHT(DEC2HEX(HEX2DEC(MID($C$2,3,8))+HEX2DEC(MID(G4,3,6)),8),4))</f>
        <v/>
      </c>
      <c r="J4" s="2">
        <f>CONCATENATE("0x",LEFT(DEC2HEX(HEX2DEC(MID($C$2,3,8))+HEX2DEC(MID(H4,3,6)),8),4),"_",RIGHT(DEC2HEX(HEX2DEC(MID($C$2,3,8))+HEX2DEC(MID(H4,3,6)),8),4))</f>
        <v/>
      </c>
      <c r="K4" s="3" t="inlineStr">
        <is>
          <t>Core717_ARINC717_AXI_Lite_Spec rev1.85, Section 7 (register address = base_addr + block_base + Off)</t>
        </is>
      </c>
    </row>
    <row r="6">
      <c r="B6" s="4" t="inlineStr">
        <is>
          <t>Bus access notes (DUT_ARINC_717 / Core717 AXI4-Lite slave):</t>
        </is>
      </c>
    </row>
    <row r="7">
      <c r="B7" s="7">
        <f>"* Core byte offset = PS byte address - "&amp;$C$2&amp;"; AXI AWADDR/ARADDR are 16-bit and decode 0x0000 ~ 0x014F (Core717 spec 7.1)."</f>
        <v/>
      </c>
    </row>
    <row r="8">
      <c r="B8" s="7" t="inlineStr">
        <is>
          <t>* Word address = core byte offset / 4 (32-bit registers). Local address in DUT_ARINC_717 = word address - module base (starts from 0x00).</t>
        </is>
      </c>
    </row>
    <row r="9">
      <c r="B9" s="7" t="inlineStr">
        <is>
          <t>* Reserved byte address 0x0000 ~ 0x014F: write ignored, read returns 0, response OKAY. 0x0150 ~ 0x03FF (outside core decode): response SLVERR.</t>
        </is>
      </c>
    </row>
    <row r="10">
      <c r="B10" s="7" t="inlineStr">
        <is>
          <t>* Type (sheet ARINC_717): RW = read/write, RO = read only, WO = write only, X = unused byte lane (reads 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8"/>
  <sheetViews>
    <sheetView zoomScale="85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V17" sqref="V17"/>
    </sheetView>
  </sheetViews>
  <sheetFormatPr baseColWidth="8" defaultRowHeight="15"/>
  <cols>
    <col width="10.42578125" customWidth="1" min="1" max="1"/>
    <col width="5.42578125" customWidth="1" min="2" max="2"/>
    <col width="24" customWidth="1" min="3" max="3"/>
    <col width="9.42578125" customWidth="1" min="4" max="11"/>
    <col width="46" customWidth="1" min="12" max="12"/>
    <col width="40" customWidth="1" min="13" max="13"/>
    <col width="9.42578125" customWidth="1" min="14" max="14"/>
    <col width="10" customWidth="1" min="15" max="15"/>
    <col width="8" customWidth="1" min="16" max="16"/>
    <col width="7" customWidth="1" min="17" max="17"/>
    <col width="14" customWidth="1" min="18" max="18"/>
  </cols>
  <sheetData>
    <row r="1">
      <c r="A1" s="35" t="inlineStr">
        <is>
          <t>Offset Word
Address</t>
        </is>
      </c>
      <c r="B1" s="35" t="inlineStr">
        <is>
          <t>Type</t>
        </is>
      </c>
      <c r="C1" s="35" t="inlineStr">
        <is>
          <t>Register Name</t>
        </is>
      </c>
      <c r="D1" s="35" t="inlineStr">
        <is>
          <t>Bit[31]</t>
        </is>
      </c>
      <c r="E1" s="35" t="inlineStr">
        <is>
          <t>Bit[30]</t>
        </is>
      </c>
      <c r="F1" s="35" t="inlineStr">
        <is>
          <t>Bit[29]</t>
        </is>
      </c>
      <c r="G1" s="35" t="inlineStr">
        <is>
          <t>Bit[28]</t>
        </is>
      </c>
      <c r="H1" s="35" t="inlineStr">
        <is>
          <t>Bit[27]</t>
        </is>
      </c>
      <c r="I1" s="35" t="inlineStr">
        <is>
          <t>Bit[26]</t>
        </is>
      </c>
      <c r="J1" s="35" t="inlineStr">
        <is>
          <t>Bit[25]</t>
        </is>
      </c>
      <c r="K1" s="35" t="inlineStr">
        <is>
          <t>Bit[24]</t>
        </is>
      </c>
      <c r="L1" s="35" t="inlineStr">
        <is>
          <t>Field Description</t>
        </is>
      </c>
      <c r="M1" s="35" t="inlineStr">
        <is>
          <t>Value Description</t>
        </is>
      </c>
      <c r="N1" s="29">
        <f>"DUT_ARINC_717 (Base address: "&amp;Module_Address_Usage!$C$2&amp;")"</f>
        <v/>
      </c>
      <c r="O1" s="30" t="n"/>
      <c r="P1" s="30" t="n"/>
      <c r="Q1" s="30" t="n"/>
      <c r="R1" s="31" t="n"/>
    </row>
    <row r="2">
      <c r="A2" s="24" t="n"/>
      <c r="B2" s="24" t="n"/>
      <c r="C2" s="24" t="n"/>
      <c r="D2" s="35" t="inlineStr">
        <is>
          <t>Bit[23]</t>
        </is>
      </c>
      <c r="E2" s="35" t="inlineStr">
        <is>
          <t>Bit[22]</t>
        </is>
      </c>
      <c r="F2" s="35" t="inlineStr">
        <is>
          <t>Bit[21]</t>
        </is>
      </c>
      <c r="G2" s="35" t="inlineStr">
        <is>
          <t>Bit[20]</t>
        </is>
      </c>
      <c r="H2" s="35" t="inlineStr">
        <is>
          <t>Bit[19]</t>
        </is>
      </c>
      <c r="I2" s="35" t="inlineStr">
        <is>
          <t>Bit[18]</t>
        </is>
      </c>
      <c r="J2" s="35" t="inlineStr">
        <is>
          <t>Bit[17]</t>
        </is>
      </c>
      <c r="K2" s="35" t="inlineStr">
        <is>
          <t>Bit[16]</t>
        </is>
      </c>
      <c r="L2" s="24" t="n"/>
      <c r="M2" s="24" t="n"/>
      <c r="N2" s="32" t="n"/>
      <c r="O2" s="33" t="n"/>
      <c r="P2" s="33" t="n"/>
      <c r="Q2" s="33" t="n"/>
      <c r="R2" s="34" t="n"/>
    </row>
    <row r="3">
      <c r="A3" s="24" t="n"/>
      <c r="B3" s="24" t="n"/>
      <c r="C3" s="24" t="n"/>
      <c r="D3" s="35" t="inlineStr">
        <is>
          <t>Bit[15]</t>
        </is>
      </c>
      <c r="E3" s="35" t="inlineStr">
        <is>
          <t>Bit[14]</t>
        </is>
      </c>
      <c r="F3" s="35" t="inlineStr">
        <is>
          <t>Bit[13]</t>
        </is>
      </c>
      <c r="G3" s="35" t="inlineStr">
        <is>
          <t>Bit[12]</t>
        </is>
      </c>
      <c r="H3" s="35" t="inlineStr">
        <is>
          <t>Bit[11]</t>
        </is>
      </c>
      <c r="I3" s="35" t="inlineStr">
        <is>
          <t>Bit[10]</t>
        </is>
      </c>
      <c r="J3" s="35" t="inlineStr">
        <is>
          <t>Bit[9]</t>
        </is>
      </c>
      <c r="K3" s="35" t="inlineStr">
        <is>
          <t>Bit[8]</t>
        </is>
      </c>
      <c r="L3" s="24" t="n"/>
      <c r="M3" s="24" t="n"/>
      <c r="N3" s="35" t="inlineStr">
        <is>
          <t>Address</t>
        </is>
      </c>
      <c r="O3" s="36" t="n"/>
      <c r="P3" s="35" t="inlineStr">
        <is>
          <t>Initial
Value</t>
        </is>
      </c>
      <c r="Q3" s="35" t="inlineStr">
        <is>
          <t>Usage</t>
        </is>
      </c>
      <c r="R3" s="35" t="inlineStr">
        <is>
          <t>PS (AXI)
Byte Address</t>
        </is>
      </c>
    </row>
    <row r="4">
      <c r="A4" s="27" t="n"/>
      <c r="B4" s="27" t="n"/>
      <c r="C4" s="27" t="n"/>
      <c r="D4" s="35" t="inlineStr">
        <is>
          <t>Bit[7]</t>
        </is>
      </c>
      <c r="E4" s="35" t="inlineStr">
        <is>
          <t>Bit[6]</t>
        </is>
      </c>
      <c r="F4" s="35" t="inlineStr">
        <is>
          <t>Bit[5]</t>
        </is>
      </c>
      <c r="G4" s="35" t="inlineStr">
        <is>
          <t>Bit[4]</t>
        </is>
      </c>
      <c r="H4" s="35" t="inlineStr">
        <is>
          <t>Bit[3]</t>
        </is>
      </c>
      <c r="I4" s="35" t="inlineStr">
        <is>
          <t>Bit[2]</t>
        </is>
      </c>
      <c r="J4" s="35" t="inlineStr">
        <is>
          <t>Bit[1]</t>
        </is>
      </c>
      <c r="K4" s="35" t="inlineStr">
        <is>
          <t>Bit[0]</t>
        </is>
      </c>
      <c r="L4" s="27" t="n"/>
      <c r="M4" s="27" t="n"/>
      <c r="N4" s="35" t="inlineStr">
        <is>
          <t>Word</t>
        </is>
      </c>
      <c r="O4" s="35" t="inlineStr">
        <is>
          <t>Byte</t>
        </is>
      </c>
      <c r="P4" s="27" t="n"/>
      <c r="Q4" s="27" t="n"/>
      <c r="R4" s="27" t="n"/>
    </row>
    <row r="5">
      <c r="A5" s="26" t="n"/>
      <c r="B5" s="26" t="n"/>
      <c r="C5" s="26" t="n"/>
      <c r="D5" s="26" t="inlineStr">
        <is>
          <t>ARINC_717 Module (DUT_ARINC_717 / Core717 AXI4-Lite)</t>
        </is>
      </c>
      <c r="E5" s="30" t="n"/>
      <c r="F5" s="30" t="n"/>
      <c r="G5" s="30" t="n"/>
      <c r="H5" s="30" t="n"/>
      <c r="I5" s="30" t="n"/>
      <c r="J5" s="30" t="n"/>
      <c r="K5" s="31" t="n"/>
      <c r="L5" s="37">
        <f>"Module word address : "&amp;Module_Address_Usage!$C$4&amp;" ~ "&amp;Module_Address_Usage!$D$4&amp;" (local 0x00 ~ 0x"&amp;DEC2HEX(HEX2DEC(MID(Module_Address_Usage!$D$4,3,5))-HEX2DEC(MID(Module_Address_Usage!$C$4,3,5)),2)&amp;")"&amp;CHAR(10)&amp;"PS byte address : "&amp;Module_Address_Usage!$I$4&amp;" ~ "&amp;Module_Address_Usage!$J$4</f>
        <v/>
      </c>
      <c r="M5" s="26" t="n"/>
      <c r="N5" s="26" t="n"/>
      <c r="O5" s="26" t="n"/>
      <c r="P5" s="26" t="n"/>
      <c r="Q5" s="26" t="n"/>
      <c r="R5" s="26" t="n"/>
    </row>
    <row r="6">
      <c r="A6" s="24" t="n"/>
      <c r="B6" s="24" t="n"/>
      <c r="C6" s="24" t="n"/>
      <c r="D6" s="38" t="n"/>
      <c r="K6" s="40" t="n"/>
      <c r="L6" s="24" t="n"/>
      <c r="M6" s="24" t="n"/>
      <c r="N6" s="24" t="n"/>
      <c r="O6" s="24" t="n"/>
      <c r="P6" s="24" t="n"/>
      <c r="Q6" s="24" t="n"/>
      <c r="R6" s="24" t="n"/>
    </row>
    <row r="7">
      <c r="A7" s="24" t="n"/>
      <c r="B7" s="24" t="n"/>
      <c r="C7" s="24" t="n"/>
      <c r="D7" s="38" t="n"/>
      <c r="K7" s="40" t="n"/>
      <c r="L7" s="24" t="n"/>
      <c r="M7" s="24" t="n"/>
      <c r="N7" s="24" t="n"/>
      <c r="O7" s="24" t="n"/>
      <c r="P7" s="24" t="n"/>
      <c r="Q7" s="24" t="n"/>
      <c r="R7" s="24" t="n"/>
    </row>
    <row r="8">
      <c r="A8" s="27" t="n"/>
      <c r="B8" s="27" t="n"/>
      <c r="C8" s="27" t="n"/>
      <c r="D8" s="32" t="n"/>
      <c r="E8" s="33" t="n"/>
      <c r="F8" s="33" t="n"/>
      <c r="G8" s="33" t="n"/>
      <c r="H8" s="33" t="n"/>
      <c r="I8" s="33" t="n"/>
      <c r="J8" s="33" t="n"/>
      <c r="K8" s="34" t="n"/>
      <c r="L8" s="27" t="n"/>
      <c r="M8" s="27" t="n"/>
      <c r="N8" s="27" t="n"/>
      <c r="O8" s="27" t="n"/>
      <c r="P8" s="27" t="n"/>
      <c r="Q8" s="27" t="n"/>
      <c r="R8" s="27" t="n"/>
    </row>
    <row r="9" ht="27" customHeight="1">
      <c r="A9" s="26" t="n"/>
      <c r="B9" s="26" t="n"/>
      <c r="C9" s="26" t="n"/>
      <c r="D9" s="26" t="inlineStr">
        <is>
          <t>Global Registers</t>
        </is>
      </c>
      <c r="E9" s="48" t="n"/>
      <c r="F9" s="48" t="n"/>
      <c r="G9" s="48" t="n"/>
      <c r="H9" s="48" t="n"/>
      <c r="I9" s="48" t="n"/>
      <c r="J9" s="48" t="n"/>
      <c r="K9" s="36" t="n"/>
      <c r="L9" s="37" t="n"/>
      <c r="M9" s="26" t="n"/>
      <c r="N9" s="26" t="inlineStr">
        <is>
          <t>Base 
Address</t>
        </is>
      </c>
      <c r="O9" s="26" t="inlineStr">
        <is>
          <t>0x00000</t>
        </is>
      </c>
      <c r="P9" s="26" t="n"/>
      <c r="Q9" s="26" t="n"/>
      <c r="R9" s="26" t="n"/>
    </row>
    <row r="10" ht="20.1" customHeight="1">
      <c r="A10" s="28" t="inlineStr">
        <is>
          <t>0x00000</t>
        </is>
      </c>
      <c r="B10" s="49" t="inlineStr">
        <is>
          <t>RO</t>
        </is>
      </c>
      <c r="C10" s="28" t="inlineStr">
        <is>
          <t>CORE_VERSION</t>
        </is>
      </c>
      <c r="D10" s="49" t="inlineStr">
        <is>
          <t>MAJOR[15:8]</t>
        </is>
      </c>
      <c r="E10" s="50" t="n"/>
      <c r="F10" s="50" t="n"/>
      <c r="G10" s="50" t="n"/>
      <c r="H10" s="50" t="n"/>
      <c r="I10" s="50" t="n"/>
      <c r="J10" s="50" t="n"/>
      <c r="K10" s="51" t="n"/>
      <c r="L10" s="23" t="inlineStr">
        <is>
          <t>MAJOR[15:0]: RTL major version
MINOR[15:0]: RTL minor version
Major[31:16] = 1, Minor[15:0] = 0 (not tied to the document revision)</t>
        </is>
      </c>
      <c r="M10" s="23" t="inlineStr">
        <is>
          <t>Constant 0x0001_0000 (v1.0)
Write returns SLVERR</t>
        </is>
      </c>
      <c r="N10" s="28">
        <f>CONCATENATE("0x",DEC2HEX(HEX2DEC(MID(Module_Address_Usage!$C$4,3,5))+HEX2DEC(MID($O$9,3,5))+HEX2DEC(MID($A10,3,5)),5))</f>
        <v/>
      </c>
      <c r="O10" s="49">
        <f>CONCATENATE("0x",DEC2HEX(HEX2DEC(MID($N$10,3,5))*4+3,6))</f>
        <v/>
      </c>
      <c r="P10" s="49" t="inlineStr">
        <is>
          <t>0x00</t>
        </is>
      </c>
      <c r="Q10" s="49" t="inlineStr">
        <is>
          <t>O</t>
        </is>
      </c>
      <c r="R10" s="28">
        <f>CONCATENATE("0x",LEFT(DEC2HEX(HEX2DEC(MID(Module_Address_Usage!$C$2,3,8))+HEX2DEC(MID($N$10,3,5))*4+0,8),4),"_",RIGHT(DEC2HEX(HEX2DEC(MID(Module_Address_Usage!$C$2,3,8))+HEX2DEC(MID($N$10,3,5))*4+0,8),4))</f>
        <v/>
      </c>
    </row>
    <row r="11" ht="20.1" customHeight="1">
      <c r="A11" s="24" t="n"/>
      <c r="B11" s="47" t="inlineStr">
        <is>
          <t>RO</t>
        </is>
      </c>
      <c r="C11" s="24" t="n"/>
      <c r="D11" s="47" t="inlineStr">
        <is>
          <t>MAJOR[7:0]</t>
        </is>
      </c>
      <c r="E11" s="48" t="n"/>
      <c r="F11" s="48" t="n"/>
      <c r="G11" s="48" t="n"/>
      <c r="H11" s="48" t="n"/>
      <c r="I11" s="48" t="n"/>
      <c r="J11" s="48" t="n"/>
      <c r="K11" s="36" t="n"/>
      <c r="L11" s="24" t="n"/>
      <c r="M11" s="24" t="n"/>
      <c r="N11" s="24" t="n"/>
      <c r="O11" s="47">
        <f>CONCATENATE("0x",DEC2HEX(HEX2DEC(MID($N$10,3,5))*4+2,6))</f>
        <v/>
      </c>
      <c r="P11" s="47" t="inlineStr">
        <is>
          <t>0x01</t>
        </is>
      </c>
      <c r="Q11" s="47" t="inlineStr">
        <is>
          <t>O</t>
        </is>
      </c>
      <c r="R11" s="24" t="n"/>
    </row>
    <row r="12" ht="20.1" customHeight="1">
      <c r="A12" s="24" t="n"/>
      <c r="B12" s="47" t="inlineStr">
        <is>
          <t>RO</t>
        </is>
      </c>
      <c r="C12" s="24" t="n"/>
      <c r="D12" s="47" t="inlineStr">
        <is>
          <t>MINOR[15:8]</t>
        </is>
      </c>
      <c r="E12" s="48" t="n"/>
      <c r="F12" s="48" t="n"/>
      <c r="G12" s="48" t="n"/>
      <c r="H12" s="48" t="n"/>
      <c r="I12" s="48" t="n"/>
      <c r="J12" s="48" t="n"/>
      <c r="K12" s="36" t="n"/>
      <c r="L12" s="24" t="n"/>
      <c r="M12" s="24" t="n"/>
      <c r="N12" s="24" t="n"/>
      <c r="O12" s="47">
        <f>CONCATENATE("0x",DEC2HEX(HEX2DEC(MID($N$10,3,5))*4+1,6))</f>
        <v/>
      </c>
      <c r="P12" s="47" t="inlineStr">
        <is>
          <t>0x00</t>
        </is>
      </c>
      <c r="Q12" s="47" t="inlineStr">
        <is>
          <t>O</t>
        </is>
      </c>
      <c r="R12" s="24" t="n"/>
    </row>
    <row r="13" ht="20.1" customHeight="1">
      <c r="A13" s="25" t="n"/>
      <c r="B13" s="44" t="inlineStr">
        <is>
          <t>RO</t>
        </is>
      </c>
      <c r="C13" s="25" t="n"/>
      <c r="D13" s="44" t="inlineStr">
        <is>
          <t>MINOR[7:0]</t>
        </is>
      </c>
      <c r="E13" s="45" t="n"/>
      <c r="F13" s="45" t="n"/>
      <c r="G13" s="45" t="n"/>
      <c r="H13" s="45" t="n"/>
      <c r="I13" s="45" t="n"/>
      <c r="J13" s="45" t="n"/>
      <c r="K13" s="46" t="n"/>
      <c r="L13" s="25" t="n"/>
      <c r="M13" s="25" t="n"/>
      <c r="N13" s="25" t="n"/>
      <c r="O13" s="44">
        <f>CONCATENATE("0x",DEC2HEX(HEX2DEC(MID($N$10,3,5))*4+0,6))</f>
        <v/>
      </c>
      <c r="P13" s="44" t="inlineStr">
        <is>
          <t>0x00</t>
        </is>
      </c>
      <c r="Q13" s="44" t="inlineStr">
        <is>
          <t>O</t>
        </is>
      </c>
      <c r="R13" s="25" t="n"/>
    </row>
    <row r="14" ht="38.125" customHeight="1">
      <c r="A14" s="28" t="inlineStr">
        <is>
          <t>0x00001</t>
        </is>
      </c>
      <c r="B14" s="49" t="inlineStr">
        <is>
          <t>X</t>
        </is>
      </c>
      <c r="C14" s="28" t="inlineStr">
        <is>
          <t>GLOBAL_CTRL</t>
        </is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23" t="inlineStr">
        <is>
          <t>SOFT_RESET: soft reset, self-clears when done
GLOBAL_EN: core enable
TX_EN / RX_EN: TX / RX path enable
IRQ_ENABLE: aggregated irq output enable
INJ_DST: pattern injector destination
Bits [31:6] reserved: write 0, read 0</t>
        </is>
      </c>
      <c r="M14" s="23" t="inlineStr">
        <is>
          <t>0b0: disable / idle (default)
0b1: enable / start
INJ_DST 0b0: TX pins, 0b1: RX input
Poll SOFT_RESET until 0b0 before config
SOFT_RESET: write 1 starts, stays 1 while busy, self-clears when done
INJ_DST: written/applied only while INJ_EN = 0; SOFT_RESET does not change it; no effect if INCLUDE_INJECTOR = 0
TX_EN / RX_EN also require GLOBAL_EN</t>
        </is>
      </c>
      <c r="N14" s="28">
        <f>CONCATENATE("0x",DEC2HEX(HEX2DEC(MID(Module_Address_Usage!$C$4,3,5))+HEX2DEC(MID($O$9,3,5))+HEX2DEC(MID($A14,3,5)),5))</f>
        <v/>
      </c>
      <c r="O14" s="49">
        <f>CONCATENATE("0x",DEC2HEX(HEX2DEC(MID($N$14,3,5))*4+3,6))</f>
        <v/>
      </c>
      <c r="P14" s="49" t="inlineStr">
        <is>
          <t>-</t>
        </is>
      </c>
      <c r="Q14" s="49" t="inlineStr">
        <is>
          <t>X</t>
        </is>
      </c>
      <c r="R14" s="28">
        <f>CONCATENATE("0x",LEFT(DEC2HEX(HEX2DEC(MID(Module_Address_Usage!$C$2,3,8))+HEX2DEC(MID($N$14,3,5))*4+0,8),4),"_",RIGHT(DEC2HEX(HEX2DEC(MID(Module_Address_Usage!$C$2,3,8))+HEX2DEC(MID($N$14,3,5))*4+0,8),4))</f>
        <v/>
      </c>
    </row>
    <row r="15" ht="38.125" customHeight="1">
      <c r="A15" s="24" t="n"/>
      <c r="B15" s="47" t="inlineStr">
        <is>
          <t>X</t>
        </is>
      </c>
      <c r="C15" s="24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24" t="n"/>
      <c r="M15" s="24" t="n"/>
      <c r="N15" s="24" t="n"/>
      <c r="O15" s="47">
        <f>CONCATENATE("0x",DEC2HEX(HEX2DEC(MID($N$14,3,5))*4+2,6))</f>
        <v/>
      </c>
      <c r="P15" s="47" t="inlineStr">
        <is>
          <t>-</t>
        </is>
      </c>
      <c r="Q15" s="47" t="inlineStr">
        <is>
          <t>X</t>
        </is>
      </c>
      <c r="R15" s="24" t="n"/>
    </row>
    <row r="16" ht="38.125" customHeight="1">
      <c r="A16" s="24" t="n"/>
      <c r="B16" s="47" t="inlineStr">
        <is>
          <t>X</t>
        </is>
      </c>
      <c r="C16" s="24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24" t="n"/>
      <c r="M16" s="24" t="n"/>
      <c r="N16" s="24" t="n"/>
      <c r="O16" s="47">
        <f>CONCATENATE("0x",DEC2HEX(HEX2DEC(MID($N$14,3,5))*4+1,6))</f>
        <v/>
      </c>
      <c r="P16" s="47" t="inlineStr">
        <is>
          <t>-</t>
        </is>
      </c>
      <c r="Q16" s="47" t="inlineStr">
        <is>
          <t>X</t>
        </is>
      </c>
      <c r="R16" s="24" t="n"/>
    </row>
    <row r="17" ht="38.125" customHeight="1">
      <c r="A17" s="25" t="n"/>
      <c r="B17" s="44" t="inlineStr">
        <is>
          <t>RW</t>
        </is>
      </c>
      <c r="C17" s="25" t="n"/>
      <c r="D17" s="19" t="n"/>
      <c r="E17" s="19" t="n"/>
      <c r="F17" s="44" t="inlineStr">
        <is>
          <t>INJ_DST</t>
        </is>
      </c>
      <c r="G17" s="44" t="inlineStr">
        <is>
          <t>IRQ_ENABLE</t>
        </is>
      </c>
      <c r="H17" s="44" t="inlineStr">
        <is>
          <t>RX_EN</t>
        </is>
      </c>
      <c r="I17" s="44" t="inlineStr">
        <is>
          <t>TX_EN</t>
        </is>
      </c>
      <c r="J17" s="44" t="inlineStr">
        <is>
          <t>GLOBAL_EN</t>
        </is>
      </c>
      <c r="K17" s="44" t="inlineStr">
        <is>
          <t>SOFT_RESET</t>
        </is>
      </c>
      <c r="L17" s="25" t="n"/>
      <c r="M17" s="25" t="n"/>
      <c r="N17" s="25" t="n"/>
      <c r="O17" s="44">
        <f>CONCATENATE("0x",DEC2HEX(HEX2DEC(MID($N$14,3,5))*4+0,6))</f>
        <v/>
      </c>
      <c r="P17" s="44" t="inlineStr">
        <is>
          <t>0x00</t>
        </is>
      </c>
      <c r="Q17" s="44" t="inlineStr">
        <is>
          <t>O</t>
        </is>
      </c>
      <c r="R17" s="25" t="n"/>
    </row>
    <row r="18" ht="20.1" customHeight="1">
      <c r="A18" s="28" t="inlineStr">
        <is>
          <t>0x00002</t>
        </is>
      </c>
      <c r="B18" s="49" t="inlineStr">
        <is>
          <t>X</t>
        </is>
      </c>
      <c r="C18" s="28" t="inlineStr">
        <is>
          <t>GLOBAL_STATUS</t>
        </is>
      </c>
      <c r="D18" s="14" t="n"/>
      <c r="E18" s="14" t="n"/>
      <c r="F18" s="14" t="n"/>
      <c r="G18" s="14" t="n"/>
      <c r="H18" s="14" t="n"/>
      <c r="I18" s="14" t="n"/>
      <c r="J18" s="14" t="n"/>
      <c r="K18" s="14" t="n"/>
      <c r="L18" s="23" t="inlineStr">
        <is>
          <t>CORE_PENDING: IRQ_SOURCE is not 0
CLR_BUSY: SOFT_RESET or FIFO clear in progress
Bits [31:2] reserved, read 0</t>
        </is>
      </c>
      <c r="M18" s="23" t="inlineStr">
        <is>
          <t>0b0: idle
0b1: pending / busy
Write returns SLVERR (no effect)
CLR_BUSY = 1: data-port access and FIFO_CLEAR write return SLVERR</t>
        </is>
      </c>
      <c r="N18" s="28">
        <f>CONCATENATE("0x",DEC2HEX(HEX2DEC(MID(Module_Address_Usage!$C$4,3,5))+HEX2DEC(MID($O$9,3,5))+HEX2DEC(MID($A18,3,5)),5))</f>
        <v/>
      </c>
      <c r="O18" s="49">
        <f>CONCATENATE("0x",DEC2HEX(HEX2DEC(MID($N$18,3,5))*4+3,6))</f>
        <v/>
      </c>
      <c r="P18" s="49" t="inlineStr">
        <is>
          <t>-</t>
        </is>
      </c>
      <c r="Q18" s="49" t="inlineStr">
        <is>
          <t>X</t>
        </is>
      </c>
      <c r="R18" s="28">
        <f>CONCATENATE("0x",LEFT(DEC2HEX(HEX2DEC(MID(Module_Address_Usage!$C$2,3,8))+HEX2DEC(MID($N$18,3,5))*4+0,8),4),"_",RIGHT(DEC2HEX(HEX2DEC(MID(Module_Address_Usage!$C$2,3,8))+HEX2DEC(MID($N$18,3,5))*4+0,8),4))</f>
        <v/>
      </c>
    </row>
    <row r="19" ht="20.1" customHeight="1">
      <c r="A19" s="24" t="n"/>
      <c r="B19" s="47" t="inlineStr">
        <is>
          <t>X</t>
        </is>
      </c>
      <c r="C19" s="24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24" t="n"/>
      <c r="M19" s="24" t="n"/>
      <c r="N19" s="24" t="n"/>
      <c r="O19" s="47">
        <f>CONCATENATE("0x",DEC2HEX(HEX2DEC(MID($N$18,3,5))*4+2,6))</f>
        <v/>
      </c>
      <c r="P19" s="47" t="inlineStr">
        <is>
          <t>-</t>
        </is>
      </c>
      <c r="Q19" s="47" t="inlineStr">
        <is>
          <t>X</t>
        </is>
      </c>
      <c r="R19" s="24" t="n"/>
    </row>
    <row r="20" ht="20.1" customHeight="1">
      <c r="A20" s="24" t="n"/>
      <c r="B20" s="47" t="inlineStr">
        <is>
          <t>X</t>
        </is>
      </c>
      <c r="C20" s="24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24" t="n"/>
      <c r="M20" s="24" t="n"/>
      <c r="N20" s="24" t="n"/>
      <c r="O20" s="47">
        <f>CONCATENATE("0x",DEC2HEX(HEX2DEC(MID($N$18,3,5))*4+1,6))</f>
        <v/>
      </c>
      <c r="P20" s="47" t="inlineStr">
        <is>
          <t>-</t>
        </is>
      </c>
      <c r="Q20" s="47" t="inlineStr">
        <is>
          <t>X</t>
        </is>
      </c>
      <c r="R20" s="24" t="n"/>
    </row>
    <row r="21" ht="20.1" customHeight="1">
      <c r="A21" s="25" t="n"/>
      <c r="B21" s="44" t="inlineStr">
        <is>
          <t>RO</t>
        </is>
      </c>
      <c r="C21" s="25" t="n"/>
      <c r="D21" s="19" t="n"/>
      <c r="E21" s="19" t="n"/>
      <c r="F21" s="19" t="n"/>
      <c r="G21" s="19" t="n"/>
      <c r="H21" s="19" t="n"/>
      <c r="I21" s="19" t="n"/>
      <c r="J21" s="44" t="inlineStr">
        <is>
          <t>CLR_BUSY</t>
        </is>
      </c>
      <c r="K21" s="44" t="inlineStr">
        <is>
          <t>CORE_PENDING</t>
        </is>
      </c>
      <c r="L21" s="25" t="n"/>
      <c r="M21" s="25" t="n"/>
      <c r="N21" s="25" t="n"/>
      <c r="O21" s="44">
        <f>CONCATENATE("0x",DEC2HEX(HEX2DEC(MID($N$18,3,5))*4+0,6))</f>
        <v/>
      </c>
      <c r="P21" s="44" t="inlineStr">
        <is>
          <t>-</t>
        </is>
      </c>
      <c r="Q21" s="44" t="inlineStr">
        <is>
          <t>O</t>
        </is>
      </c>
      <c r="R21" s="25" t="n"/>
    </row>
    <row r="22" ht="20.1" customHeight="1">
      <c r="A22" s="28" t="inlineStr">
        <is>
          <t>0x00003</t>
        </is>
      </c>
      <c r="B22" s="49" t="inlineStr">
        <is>
          <t>X</t>
        </is>
      </c>
      <c r="C22" s="28" t="inlineStr">
        <is>
          <t>IRQ_SOURCE</t>
        </is>
      </c>
      <c r="D22" s="14" t="n"/>
      <c r="E22" s="14" t="n"/>
      <c r="F22" s="14" t="n"/>
      <c r="G22" s="14" t="n"/>
      <c r="H22" s="14" t="n"/>
      <c r="I22" s="14" t="n"/>
      <c r="J22" s="14" t="n"/>
      <c r="K22" s="14" t="n"/>
      <c r="L22" s="23" t="inlineStr">
        <is>
          <t>[3:0]: TX_IRQ_STATUS AND TX_IRQ_ENABLE
[22:16]: RX_IRQ_STATUS AND RX_IRQ_ENABLE
Not gated by GLOBAL_CTRL.IRQ_ENABLE
Bit n of RX_IRQ_STATUS is bit 16 + n; other bits reserved, read 0</t>
        </is>
      </c>
      <c r="M22" s="23" t="inlineStr">
        <is>
          <t>0b0: no request
0b1: source requests irq
Clear by W1C on TX/RX_IRQ_STATUS
Write returns SLVERR (no effect)</t>
        </is>
      </c>
      <c r="N22" s="28">
        <f>CONCATENATE("0x",DEC2HEX(HEX2DEC(MID(Module_Address_Usage!$C$4,3,5))+HEX2DEC(MID($O$9,3,5))+HEX2DEC(MID($A22,3,5)),5))</f>
        <v/>
      </c>
      <c r="O22" s="49">
        <f>CONCATENATE("0x",DEC2HEX(HEX2DEC(MID($N$22,3,5))*4+3,6))</f>
        <v/>
      </c>
      <c r="P22" s="49" t="inlineStr">
        <is>
          <t>-</t>
        </is>
      </c>
      <c r="Q22" s="49" t="inlineStr">
        <is>
          <t>X</t>
        </is>
      </c>
      <c r="R22" s="28">
        <f>CONCATENATE("0x",LEFT(DEC2HEX(HEX2DEC(MID(Module_Address_Usage!$C$2,3,8))+HEX2DEC(MID($N$22,3,5))*4+0,8),4),"_",RIGHT(DEC2HEX(HEX2DEC(MID(Module_Address_Usage!$C$2,3,8))+HEX2DEC(MID($N$22,3,5))*4+0,8),4))</f>
        <v/>
      </c>
    </row>
    <row r="23" ht="20.1" customHeight="1">
      <c r="A23" s="24" t="n"/>
      <c r="B23" s="47" t="inlineStr">
        <is>
          <t>RO</t>
        </is>
      </c>
      <c r="C23" s="24" t="n"/>
      <c r="D23" s="17" t="n"/>
      <c r="E23" s="47" t="inlineStr">
        <is>
          <t>RX_BIT_ERR</t>
        </is>
      </c>
      <c r="F23" s="47" t="inlineStr">
        <is>
          <t>RX_INSYNC_LOST</t>
        </is>
      </c>
      <c r="G23" s="47" t="inlineStr">
        <is>
          <t>RX_MATCH</t>
        </is>
      </c>
      <c r="H23" s="47" t="inlineStr">
        <is>
          <t>RX_OVERFLOW</t>
        </is>
      </c>
      <c r="I23" s="47" t="inlineStr">
        <is>
          <t>RX_FULL</t>
        </is>
      </c>
      <c r="J23" s="47" t="inlineStr">
        <is>
          <t>RX_HALF</t>
        </is>
      </c>
      <c r="K23" s="47" t="inlineStr">
        <is>
          <t>RX_EMPTY</t>
        </is>
      </c>
      <c r="L23" s="24" t="n"/>
      <c r="M23" s="24" t="n"/>
      <c r="N23" s="24" t="n"/>
      <c r="O23" s="47">
        <f>CONCATENATE("0x",DEC2HEX(HEX2DEC(MID($N$22,3,5))*4+2,6))</f>
        <v/>
      </c>
      <c r="P23" s="47" t="inlineStr">
        <is>
          <t>-</t>
        </is>
      </c>
      <c r="Q23" s="47" t="inlineStr">
        <is>
          <t>O</t>
        </is>
      </c>
      <c r="R23" s="24" t="n"/>
    </row>
    <row r="24" ht="20.1" customHeight="1">
      <c r="A24" s="24" t="n"/>
      <c r="B24" s="47" t="inlineStr">
        <is>
          <t>X</t>
        </is>
      </c>
      <c r="C24" s="24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24" t="n"/>
      <c r="M24" s="24" t="n"/>
      <c r="N24" s="24" t="n"/>
      <c r="O24" s="47">
        <f>CONCATENATE("0x",DEC2HEX(HEX2DEC(MID($N$22,3,5))*4+1,6))</f>
        <v/>
      </c>
      <c r="P24" s="47" t="inlineStr">
        <is>
          <t>-</t>
        </is>
      </c>
      <c r="Q24" s="47" t="inlineStr">
        <is>
          <t>X</t>
        </is>
      </c>
      <c r="R24" s="24" t="n"/>
    </row>
    <row r="25" ht="20.1" customHeight="1">
      <c r="A25" s="25" t="n"/>
      <c r="B25" s="44" t="inlineStr">
        <is>
          <t>RO</t>
        </is>
      </c>
      <c r="C25" s="25" t="n"/>
      <c r="D25" s="19" t="n"/>
      <c r="E25" s="19" t="n"/>
      <c r="F25" s="19" t="n"/>
      <c r="G25" s="19" t="n"/>
      <c r="H25" s="44" t="inlineStr">
        <is>
          <t>TX_UNDERRUN</t>
        </is>
      </c>
      <c r="I25" s="44" t="inlineStr">
        <is>
          <t>TX_FULL</t>
        </is>
      </c>
      <c r="J25" s="44" t="inlineStr">
        <is>
          <t>TX_LOW</t>
        </is>
      </c>
      <c r="K25" s="44" t="inlineStr">
        <is>
          <t>TX_EMPTY</t>
        </is>
      </c>
      <c r="L25" s="25" t="n"/>
      <c r="M25" s="25" t="n"/>
      <c r="N25" s="25" t="n"/>
      <c r="O25" s="44">
        <f>CONCATENATE("0x",DEC2HEX(HEX2DEC(MID($N$22,3,5))*4+0,6))</f>
        <v/>
      </c>
      <c r="P25" s="44" t="inlineStr">
        <is>
          <t>-</t>
        </is>
      </c>
      <c r="Q25" s="44" t="inlineStr">
        <is>
          <t>O</t>
        </is>
      </c>
      <c r="R25" s="25" t="n"/>
    </row>
    <row r="26" ht="27" customHeight="1">
      <c r="A26" s="28" t="inlineStr">
        <is>
          <t>0x00004
~ 0x00007</t>
        </is>
      </c>
      <c r="B26" s="28" t="inlineStr">
        <is>
          <t>X</t>
        </is>
      </c>
      <c r="C26" s="28" t="inlineStr">
        <is>
          <t>Reserved</t>
        </is>
      </c>
      <c r="D26" s="41" t="n"/>
      <c r="E26" s="42" t="n"/>
      <c r="F26" s="42" t="n"/>
      <c r="G26" s="42" t="n"/>
      <c r="H26" s="42" t="n"/>
      <c r="I26" s="42" t="n"/>
      <c r="J26" s="42" t="n"/>
      <c r="K26" s="43" t="n"/>
      <c r="L26" s="23" t="inlineStr">
        <is>
          <t>Reserved</t>
        </is>
      </c>
      <c r="M26" s="23" t="inlineStr">
        <is>
          <t>Write ignored, read returns 0x0000_0000</t>
        </is>
      </c>
      <c r="N26" s="28">
        <f>CONCATENATE("0x",DEC2HEX(HEX2DEC(MID(Module_Address_Usage!$C$4,3,5))+HEX2DEC(MID($O$9,3,5))+HEX2DEC(MID($A26,3,5)),5))&amp;CHAR(10)&amp;"~ "&amp;CONCATENATE("0x",DEC2HEX(HEX2DEC(MID(Module_Address_Usage!$C$4,3,5))+HEX2DEC(MID($O$9,3,5))+HEX2DEC(MID($A26,13,5)),5))</f>
        <v/>
      </c>
      <c r="O26" s="28">
        <f>CONCATENATE("0x",DEC2HEX(HEX2DEC(MID(CONCATENATE("0x",DEC2HEX(HEX2DEC(MID(Module_Address_Usage!$C$4,3,5))+HEX2DEC(MID($O$9,3,5))+HEX2DEC(MID($A26,3,5)),5)),3,5))*4+0,6))&amp;CHAR(10)&amp;"~ "&amp;CONCATENATE("0x",DEC2HEX(HEX2DEC(MID(CONCATENATE("0x",DEC2HEX(HEX2DEC(MID(Module_Address_Usage!$C$4,3,5))+HEX2DEC(MID($O$9,3,5))+HEX2DEC(MID($A26,13,5)),5)),3,5))*4+3,6))</f>
        <v/>
      </c>
      <c r="P26" s="28" t="inlineStr">
        <is>
          <t>-</t>
        </is>
      </c>
      <c r="Q26" s="28" t="inlineStr">
        <is>
          <t>X</t>
        </is>
      </c>
      <c r="R26" s="28">
        <f>CONCATENATE("0x",LEFT(DEC2HEX(HEX2DEC(MID(Module_Address_Usage!$C$2,3,8))+HEX2DEC(MID(CONCATENATE("0x",DEC2HEX(HEX2DEC(MID(Module_Address_Usage!$C$4,3,5))+HEX2DEC(MID($O$9,3,5))+HEX2DEC(MID($A26,3,5)),5)),3,5))*4+0,8),4),"_",RIGHT(DEC2HEX(HEX2DEC(MID(Module_Address_Usage!$C$2,3,8))+HEX2DEC(MID(CONCATENATE("0x",DEC2HEX(HEX2DEC(MID(Module_Address_Usage!$C$4,3,5))+HEX2DEC(MID($O$9,3,5))+HEX2DEC(MID($A26,3,5)),5)),3,5))*4+0,8),4))&amp;CHAR(10)&amp;"~ "&amp;CONCATENATE("0x",LEFT(DEC2HEX(HEX2DEC(MID(Module_Address_Usage!$C$2,3,8))+HEX2DEC(MID(CONCATENATE("0x",DEC2HEX(HEX2DEC(MID(Module_Address_Usage!$C$4,3,5))+HEX2DEC(MID($O$9,3,5))+HEX2DEC(MID($A26,13,5)),5)),3,5))*4+3,8),4),"_",RIGHT(DEC2HEX(HEX2DEC(MID(Module_Address_Usage!$C$2,3,8))+HEX2DEC(MID(CONCATENATE("0x",DEC2HEX(HEX2DEC(MID(Module_Address_Usage!$C$4,3,5))+HEX2DEC(MID($O$9,3,5))+HEX2DEC(MID($A26,13,5)),5)),3,5))*4+3,8),4))</f>
        <v/>
      </c>
    </row>
    <row r="27" ht="27" customHeight="1">
      <c r="A27" s="26" t="n"/>
      <c r="B27" s="26" t="n"/>
      <c r="C27" s="26" t="n"/>
      <c r="D27" s="26" t="inlineStr">
        <is>
          <t>TX Control / Status</t>
        </is>
      </c>
      <c r="E27" s="48" t="n"/>
      <c r="F27" s="48" t="n"/>
      <c r="G27" s="48" t="n"/>
      <c r="H27" s="48" t="n"/>
      <c r="I27" s="48" t="n"/>
      <c r="J27" s="48" t="n"/>
      <c r="K27" s="36" t="n"/>
      <c r="L27" s="37" t="n"/>
      <c r="M27" s="26" t="n"/>
      <c r="N27" s="26" t="inlineStr">
        <is>
          <t>Base 
Address</t>
        </is>
      </c>
      <c r="O27" s="26" t="inlineStr">
        <is>
          <t>0x00008</t>
        </is>
      </c>
      <c r="P27" s="26" t="n"/>
      <c r="Q27" s="26" t="n"/>
      <c r="R27" s="26" t="n"/>
    </row>
    <row r="28" ht="21.25" customHeight="1">
      <c r="A28" s="28" t="inlineStr">
        <is>
          <t>0x00000</t>
        </is>
      </c>
      <c r="B28" s="49" t="inlineStr">
        <is>
          <t>X</t>
        </is>
      </c>
      <c r="C28" s="28" t="inlineStr">
        <is>
          <t>TX_CTRL</t>
        </is>
      </c>
      <c r="D28" s="14" t="n"/>
      <c r="E28" s="14" t="n"/>
      <c r="F28" s="14" t="n"/>
      <c r="G28" s="14" t="n"/>
      <c r="H28" s="14" t="n"/>
      <c r="I28" s="14" t="n"/>
      <c r="J28" s="14" t="n"/>
      <c r="K28" s="14" t="n"/>
      <c r="L28" s="23" t="inlineStr">
        <is>
          <t>SYNC_INS_MODE: sync word insertion mode
TX_RATE[3:0]: TX word-rate select (spec Table 5)
Applied only while tx_active = 0
Bits [7:1] and [31:12] reserved: write 0, read 0</t>
        </is>
      </c>
      <c r="M28" s="23" t="inlineStr">
        <is>
          <t>SYNC_INS_MODE 0b0: software inserts sync
SYNC_INS_MODE 0b1: hardware inserts TX_SYNCx
TX_RATE 0x8 ~ 0xF: as 0x0 (64 wps)</t>
        </is>
      </c>
      <c r="N28" s="28">
        <f>CONCATENATE("0x",DEC2HEX(HEX2DEC(MID(Module_Address_Usage!$C$4,3,5))+HEX2DEC(MID($O$27,3,5))+HEX2DEC(MID($A28,3,5)),5))</f>
        <v/>
      </c>
      <c r="O28" s="49">
        <f>CONCATENATE("0x",DEC2HEX(HEX2DEC(MID($N$28,3,5))*4+3,6))</f>
        <v/>
      </c>
      <c r="P28" s="49" t="inlineStr">
        <is>
          <t>-</t>
        </is>
      </c>
      <c r="Q28" s="49" t="inlineStr">
        <is>
          <t>X</t>
        </is>
      </c>
      <c r="R28" s="28">
        <f>CONCATENATE("0x",LEFT(DEC2HEX(HEX2DEC(MID(Module_Address_Usage!$C$2,3,8))+HEX2DEC(MID($N$28,3,5))*4+0,8),4),"_",RIGHT(DEC2HEX(HEX2DEC(MID(Module_Address_Usage!$C$2,3,8))+HEX2DEC(MID($N$28,3,5))*4+0,8),4))</f>
        <v/>
      </c>
    </row>
    <row r="29" ht="21.25" customHeight="1">
      <c r="A29" s="24" t="n"/>
      <c r="B29" s="47" t="inlineStr">
        <is>
          <t>X</t>
        </is>
      </c>
      <c r="C29" s="24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24" t="n"/>
      <c r="M29" s="24" t="n"/>
      <c r="N29" s="24" t="n"/>
      <c r="O29" s="47">
        <f>CONCATENATE("0x",DEC2HEX(HEX2DEC(MID($N$28,3,5))*4+2,6))</f>
        <v/>
      </c>
      <c r="P29" s="47" t="inlineStr">
        <is>
          <t>-</t>
        </is>
      </c>
      <c r="Q29" s="47" t="inlineStr">
        <is>
          <t>X</t>
        </is>
      </c>
      <c r="R29" s="24" t="n"/>
    </row>
    <row r="30" ht="21.25" customHeight="1">
      <c r="A30" s="24" t="n"/>
      <c r="B30" s="47" t="inlineStr">
        <is>
          <t>RW</t>
        </is>
      </c>
      <c r="C30" s="24" t="n"/>
      <c r="D30" s="17" t="n"/>
      <c r="E30" s="17" t="n"/>
      <c r="F30" s="17" t="n"/>
      <c r="G30" s="17" t="n"/>
      <c r="H30" s="47" t="inlineStr">
        <is>
          <t>TX_RATE[3:0]</t>
        </is>
      </c>
      <c r="I30" s="48" t="n"/>
      <c r="J30" s="48" t="n"/>
      <c r="K30" s="36" t="n"/>
      <c r="L30" s="24" t="n"/>
      <c r="M30" s="24" t="n"/>
      <c r="N30" s="24" t="n"/>
      <c r="O30" s="47">
        <f>CONCATENATE("0x",DEC2HEX(HEX2DEC(MID($N$28,3,5))*4+1,6))</f>
        <v/>
      </c>
      <c r="P30" s="47" t="inlineStr">
        <is>
          <t>0x00</t>
        </is>
      </c>
      <c r="Q30" s="47" t="inlineStr">
        <is>
          <t>O</t>
        </is>
      </c>
      <c r="R30" s="24" t="n"/>
    </row>
    <row r="31" ht="21.25" customHeight="1">
      <c r="A31" s="25" t="n"/>
      <c r="B31" s="44" t="inlineStr">
        <is>
          <t>RW</t>
        </is>
      </c>
      <c r="C31" s="25" t="n"/>
      <c r="D31" s="19" t="n"/>
      <c r="E31" s="19" t="n"/>
      <c r="F31" s="19" t="n"/>
      <c r="G31" s="19" t="n"/>
      <c r="H31" s="19" t="n"/>
      <c r="I31" s="19" t="n"/>
      <c r="J31" s="19" t="n"/>
      <c r="K31" s="44" t="inlineStr">
        <is>
          <t>SYNC_INS_MODE</t>
        </is>
      </c>
      <c r="L31" s="25" t="n"/>
      <c r="M31" s="25" t="n"/>
      <c r="N31" s="25" t="n"/>
      <c r="O31" s="44">
        <f>CONCATENATE("0x",DEC2HEX(HEX2DEC(MID($N$28,3,5))*4+0,6))</f>
        <v/>
      </c>
      <c r="P31" s="44" t="inlineStr">
        <is>
          <t>0x00</t>
        </is>
      </c>
      <c r="Q31" s="44" t="inlineStr">
        <is>
          <t>O</t>
        </is>
      </c>
      <c r="R31" s="25" t="n"/>
    </row>
    <row r="32" ht="20.1" customHeight="1">
      <c r="A32" s="28" t="inlineStr">
        <is>
          <t>0x00001</t>
        </is>
      </c>
      <c r="B32" s="49" t="inlineStr">
        <is>
          <t>X</t>
        </is>
      </c>
      <c r="C32" s="28" t="inlineStr">
        <is>
          <t>TX_STATUS</t>
        </is>
      </c>
      <c r="D32" s="14" t="n"/>
      <c r="E32" s="14" t="n"/>
      <c r="F32" s="14" t="n"/>
      <c r="G32" s="14" t="n"/>
      <c r="H32" s="14" t="n"/>
      <c r="I32" s="14" t="n"/>
      <c r="J32" s="14" t="n"/>
      <c r="K32" s="14" t="n"/>
      <c r="L32" s="23" t="inlineStr">
        <is>
          <t>EMPTY: TX FIFO level = 0
HALF: TX FIFO level &gt;= FIFO_DEPTH/2
FULL: TX FIFO level = FIFO_DEPTH</t>
        </is>
      </c>
      <c r="M32" s="23" t="inlineStr">
        <is>
          <t>0b0: false
0b1: true (reset: EMPTY = 1)
Write returns SLVERR (no effect)</t>
        </is>
      </c>
      <c r="N32" s="28">
        <f>CONCATENATE("0x",DEC2HEX(HEX2DEC(MID(Module_Address_Usage!$C$4,3,5))+HEX2DEC(MID($O$27,3,5))+HEX2DEC(MID($A32,3,5)),5))</f>
        <v/>
      </c>
      <c r="O32" s="49">
        <f>CONCATENATE("0x",DEC2HEX(HEX2DEC(MID($N$32,3,5))*4+3,6))</f>
        <v/>
      </c>
      <c r="P32" s="49" t="inlineStr">
        <is>
          <t>-</t>
        </is>
      </c>
      <c r="Q32" s="49" t="inlineStr">
        <is>
          <t>X</t>
        </is>
      </c>
      <c r="R32" s="28">
        <f>CONCATENATE("0x",LEFT(DEC2HEX(HEX2DEC(MID(Module_Address_Usage!$C$2,3,8))+HEX2DEC(MID($N$32,3,5))*4+0,8),4),"_",RIGHT(DEC2HEX(HEX2DEC(MID(Module_Address_Usage!$C$2,3,8))+HEX2DEC(MID($N$32,3,5))*4+0,8),4))</f>
        <v/>
      </c>
    </row>
    <row r="33" ht="20.1" customHeight="1">
      <c r="A33" s="24" t="n"/>
      <c r="B33" s="47" t="inlineStr">
        <is>
          <t>X</t>
        </is>
      </c>
      <c r="C33" s="24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24" t="n"/>
      <c r="M33" s="24" t="n"/>
      <c r="N33" s="24" t="n"/>
      <c r="O33" s="47">
        <f>CONCATENATE("0x",DEC2HEX(HEX2DEC(MID($N$32,3,5))*4+2,6))</f>
        <v/>
      </c>
      <c r="P33" s="47" t="inlineStr">
        <is>
          <t>-</t>
        </is>
      </c>
      <c r="Q33" s="47" t="inlineStr">
        <is>
          <t>X</t>
        </is>
      </c>
      <c r="R33" s="24" t="n"/>
    </row>
    <row r="34" ht="20.1" customHeight="1">
      <c r="A34" s="24" t="n"/>
      <c r="B34" s="47" t="inlineStr">
        <is>
          <t>X</t>
        </is>
      </c>
      <c r="C34" s="24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24" t="n"/>
      <c r="M34" s="24" t="n"/>
      <c r="N34" s="24" t="n"/>
      <c r="O34" s="47">
        <f>CONCATENATE("0x",DEC2HEX(HEX2DEC(MID($N$32,3,5))*4+1,6))</f>
        <v/>
      </c>
      <c r="P34" s="47" t="inlineStr">
        <is>
          <t>-</t>
        </is>
      </c>
      <c r="Q34" s="47" t="inlineStr">
        <is>
          <t>X</t>
        </is>
      </c>
      <c r="R34" s="24" t="n"/>
    </row>
    <row r="35" ht="20.1" customHeight="1">
      <c r="A35" s="25" t="n"/>
      <c r="B35" s="44" t="inlineStr">
        <is>
          <t>RO</t>
        </is>
      </c>
      <c r="C35" s="25" t="n"/>
      <c r="D35" s="19" t="n"/>
      <c r="E35" s="19" t="n"/>
      <c r="F35" s="19" t="n"/>
      <c r="G35" s="19" t="n"/>
      <c r="H35" s="19" t="n"/>
      <c r="I35" s="44" t="inlineStr">
        <is>
          <t>FULL</t>
        </is>
      </c>
      <c r="J35" s="44" t="inlineStr">
        <is>
          <t>HALF</t>
        </is>
      </c>
      <c r="K35" s="44" t="inlineStr">
        <is>
          <t>EMPTY</t>
        </is>
      </c>
      <c r="L35" s="25" t="n"/>
      <c r="M35" s="25" t="n"/>
      <c r="N35" s="25" t="n"/>
      <c r="O35" s="44">
        <f>CONCATENATE("0x",DEC2HEX(HEX2DEC(MID($N$32,3,5))*4+0,6))</f>
        <v/>
      </c>
      <c r="P35" s="44" t="inlineStr">
        <is>
          <t>0x01</t>
        </is>
      </c>
      <c r="Q35" s="44" t="inlineStr">
        <is>
          <t>O</t>
        </is>
      </c>
      <c r="R35" s="25" t="n"/>
    </row>
    <row r="36" ht="27" customHeight="1">
      <c r="A36" s="28" t="inlineStr">
        <is>
          <t>0x00002
~ 0x00003</t>
        </is>
      </c>
      <c r="B36" s="28" t="inlineStr">
        <is>
          <t>X</t>
        </is>
      </c>
      <c r="C36" s="28" t="inlineStr">
        <is>
          <t>Reserved</t>
        </is>
      </c>
      <c r="D36" s="41" t="n"/>
      <c r="E36" s="42" t="n"/>
      <c r="F36" s="42" t="n"/>
      <c r="G36" s="42" t="n"/>
      <c r="H36" s="42" t="n"/>
      <c r="I36" s="42" t="n"/>
      <c r="J36" s="42" t="n"/>
      <c r="K36" s="43" t="n"/>
      <c r="L36" s="23" t="inlineStr">
        <is>
          <t>Reserved</t>
        </is>
      </c>
      <c r="M36" s="23" t="inlineStr">
        <is>
          <t>Write ignored, read returns 0x0000_0000</t>
        </is>
      </c>
      <c r="N36" s="28">
        <f>CONCATENATE("0x",DEC2HEX(HEX2DEC(MID(Module_Address_Usage!$C$4,3,5))+HEX2DEC(MID($O$27,3,5))+HEX2DEC(MID($A36,3,5)),5))&amp;CHAR(10)&amp;"~ "&amp;CONCATENATE("0x",DEC2HEX(HEX2DEC(MID(Module_Address_Usage!$C$4,3,5))+HEX2DEC(MID($O$27,3,5))+HEX2DEC(MID($A36,13,5)),5))</f>
        <v/>
      </c>
      <c r="O36" s="28">
        <f>CONCATENATE("0x",DEC2HEX(HEX2DEC(MID(CONCATENATE("0x",DEC2HEX(HEX2DEC(MID(Module_Address_Usage!$C$4,3,5))+HEX2DEC(MID($O$27,3,5))+HEX2DEC(MID($A36,3,5)),5)),3,5))*4+0,6))&amp;CHAR(10)&amp;"~ "&amp;CONCATENATE("0x",DEC2HEX(HEX2DEC(MID(CONCATENATE("0x",DEC2HEX(HEX2DEC(MID(Module_Address_Usage!$C$4,3,5))+HEX2DEC(MID($O$27,3,5))+HEX2DEC(MID($A36,13,5)),5)),3,5))*4+3,6))</f>
        <v/>
      </c>
      <c r="P36" s="28" t="inlineStr">
        <is>
          <t>-</t>
        </is>
      </c>
      <c r="Q36" s="28" t="inlineStr">
        <is>
          <t>X</t>
        </is>
      </c>
      <c r="R36" s="28">
        <f>CONCATENATE("0x",LEFT(DEC2HEX(HEX2DEC(MID(Module_Address_Usage!$C$2,3,8))+HEX2DEC(MID(CONCATENATE("0x",DEC2HEX(HEX2DEC(MID(Module_Address_Usage!$C$4,3,5))+HEX2DEC(MID($O$27,3,5))+HEX2DEC(MID($A36,3,5)),5)),3,5))*4+0,8),4),"_",RIGHT(DEC2HEX(HEX2DEC(MID(Module_Address_Usage!$C$2,3,8))+HEX2DEC(MID(CONCATENATE("0x",DEC2HEX(HEX2DEC(MID(Module_Address_Usage!$C$4,3,5))+HEX2DEC(MID($O$27,3,5))+HEX2DEC(MID($A36,3,5)),5)),3,5))*4+0,8),4))&amp;CHAR(10)&amp;"~ "&amp;CONCATENATE("0x",LEFT(DEC2HEX(HEX2DEC(MID(Module_Address_Usage!$C$2,3,8))+HEX2DEC(MID(CONCATENATE("0x",DEC2HEX(HEX2DEC(MID(Module_Address_Usage!$C$4,3,5))+HEX2DEC(MID($O$27,3,5))+HEX2DEC(MID($A36,13,5)),5)),3,5))*4+3,8),4),"_",RIGHT(DEC2HEX(HEX2DEC(MID(Module_Address_Usage!$C$2,3,8))+HEX2DEC(MID(CONCATENATE("0x",DEC2HEX(HEX2DEC(MID(Module_Address_Usage!$C$4,3,5))+HEX2DEC(MID($O$27,3,5))+HEX2DEC(MID($A36,13,5)),5)),3,5))*4+3,8),4))</f>
        <v/>
      </c>
    </row>
    <row r="37" ht="20.1" customHeight="1">
      <c r="A37" s="28" t="inlineStr">
        <is>
          <t>0x00004</t>
        </is>
      </c>
      <c r="B37" s="49" t="inlineStr">
        <is>
          <t>X</t>
        </is>
      </c>
      <c r="C37" s="28" t="inlineStr">
        <is>
          <t>TX_IRQ_ENABLE</t>
        </is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23" t="inlineStr">
        <is>
          <t>Interrupt enable of TX_IRQ_STATUS bits</t>
        </is>
      </c>
      <c r="M37" s="23" t="inlineStr">
        <is>
          <t>0b0: disable
0b1: enable</t>
        </is>
      </c>
      <c r="N37" s="28">
        <f>CONCATENATE("0x",DEC2HEX(HEX2DEC(MID(Module_Address_Usage!$C$4,3,5))+HEX2DEC(MID($O$27,3,5))+HEX2DEC(MID($A37,3,5)),5))</f>
        <v/>
      </c>
      <c r="O37" s="49">
        <f>CONCATENATE("0x",DEC2HEX(HEX2DEC(MID($N$37,3,5))*4+3,6))</f>
        <v/>
      </c>
      <c r="P37" s="49" t="inlineStr">
        <is>
          <t>-</t>
        </is>
      </c>
      <c r="Q37" s="49" t="inlineStr">
        <is>
          <t>X</t>
        </is>
      </c>
      <c r="R37" s="28">
        <f>CONCATENATE("0x",LEFT(DEC2HEX(HEX2DEC(MID(Module_Address_Usage!$C$2,3,8))+HEX2DEC(MID($N$37,3,5))*4+0,8),4),"_",RIGHT(DEC2HEX(HEX2DEC(MID(Module_Address_Usage!$C$2,3,8))+HEX2DEC(MID($N$37,3,5))*4+0,8),4))</f>
        <v/>
      </c>
    </row>
    <row r="38" ht="20.1" customHeight="1">
      <c r="A38" s="24" t="n"/>
      <c r="B38" s="47" t="inlineStr">
        <is>
          <t>X</t>
        </is>
      </c>
      <c r="C38" s="24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24" t="n"/>
      <c r="M38" s="24" t="n"/>
      <c r="N38" s="24" t="n"/>
      <c r="O38" s="47">
        <f>CONCATENATE("0x",DEC2HEX(HEX2DEC(MID($N$37,3,5))*4+2,6))</f>
        <v/>
      </c>
      <c r="P38" s="47" t="inlineStr">
        <is>
          <t>-</t>
        </is>
      </c>
      <c r="Q38" s="47" t="inlineStr">
        <is>
          <t>X</t>
        </is>
      </c>
      <c r="R38" s="24" t="n"/>
    </row>
    <row r="39" ht="20.1" customHeight="1">
      <c r="A39" s="24" t="n"/>
      <c r="B39" s="47" t="inlineStr">
        <is>
          <t>X</t>
        </is>
      </c>
      <c r="C39" s="24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24" t="n"/>
      <c r="M39" s="24" t="n"/>
      <c r="N39" s="24" t="n"/>
      <c r="O39" s="47">
        <f>CONCATENATE("0x",DEC2HEX(HEX2DEC(MID($N$37,3,5))*4+1,6))</f>
        <v/>
      </c>
      <c r="P39" s="47" t="inlineStr">
        <is>
          <t>-</t>
        </is>
      </c>
      <c r="Q39" s="47" t="inlineStr">
        <is>
          <t>X</t>
        </is>
      </c>
      <c r="R39" s="24" t="n"/>
    </row>
    <row r="40" ht="20.1" customHeight="1">
      <c r="A40" s="25" t="n"/>
      <c r="B40" s="44" t="inlineStr">
        <is>
          <t>RW</t>
        </is>
      </c>
      <c r="C40" s="25" t="n"/>
      <c r="D40" s="19" t="n"/>
      <c r="E40" s="19" t="n"/>
      <c r="F40" s="19" t="n"/>
      <c r="G40" s="19" t="n"/>
      <c r="H40" s="44" t="inlineStr">
        <is>
          <t>EN_UNDERRUN</t>
        </is>
      </c>
      <c r="I40" s="44" t="inlineStr">
        <is>
          <t>EN_FULL</t>
        </is>
      </c>
      <c r="J40" s="44" t="inlineStr">
        <is>
          <t>EN_LOW</t>
        </is>
      </c>
      <c r="K40" s="44" t="inlineStr">
        <is>
          <t>EN_EMPTY</t>
        </is>
      </c>
      <c r="L40" s="25" t="n"/>
      <c r="M40" s="25" t="n"/>
      <c r="N40" s="25" t="n"/>
      <c r="O40" s="44">
        <f>CONCATENATE("0x",DEC2HEX(HEX2DEC(MID($N$37,3,5))*4+0,6))</f>
        <v/>
      </c>
      <c r="P40" s="44" t="inlineStr">
        <is>
          <t>0x00</t>
        </is>
      </c>
      <c r="Q40" s="44" t="inlineStr">
        <is>
          <t>O</t>
        </is>
      </c>
      <c r="R40" s="25" t="n"/>
    </row>
    <row r="41" ht="20.1" customHeight="1">
      <c r="A41" s="28" t="inlineStr">
        <is>
          <t>0x00005</t>
        </is>
      </c>
      <c r="B41" s="49" t="inlineStr">
        <is>
          <t>X</t>
        </is>
      </c>
      <c r="C41" s="28" t="inlineStr">
        <is>
          <t>TX_IRQ_STATUS</t>
        </is>
      </c>
      <c r="D41" s="14" t="n"/>
      <c r="E41" s="14" t="n"/>
      <c r="F41" s="14" t="n"/>
      <c r="G41" s="14" t="n"/>
      <c r="H41" s="14" t="n"/>
      <c r="I41" s="14" t="n"/>
      <c r="J41" s="14" t="n"/>
      <c r="K41" s="14" t="n"/>
      <c r="L41" s="23" t="inlineStr">
        <is>
          <t>ST_EMPTY: TX FIFO becomes empty
ST_LOW: level falls below FIFO_DEPTH/2
ST_FULL: TX FIFO becomes full
ST_UNDERRUN: FIFO empty at a word_tick</t>
        </is>
      </c>
      <c r="M41" s="23" t="inlineStr">
        <is>
          <t>Sticky, edge-triggered
W1C: write 0b1 to clear
Cleared bits are those written with 0b1; bits written with 0b0 are unchanged</t>
        </is>
      </c>
      <c r="N41" s="28">
        <f>CONCATENATE("0x",DEC2HEX(HEX2DEC(MID(Module_Address_Usage!$C$4,3,5))+HEX2DEC(MID($O$27,3,5))+HEX2DEC(MID($A41,3,5)),5))</f>
        <v/>
      </c>
      <c r="O41" s="49">
        <f>CONCATENATE("0x",DEC2HEX(HEX2DEC(MID($N$41,3,5))*4+3,6))</f>
        <v/>
      </c>
      <c r="P41" s="49" t="inlineStr">
        <is>
          <t>-</t>
        </is>
      </c>
      <c r="Q41" s="49" t="inlineStr">
        <is>
          <t>X</t>
        </is>
      </c>
      <c r="R41" s="28">
        <f>CONCATENATE("0x",LEFT(DEC2HEX(HEX2DEC(MID(Module_Address_Usage!$C$2,3,8))+HEX2DEC(MID($N$41,3,5))*4+0,8),4),"_",RIGHT(DEC2HEX(HEX2DEC(MID(Module_Address_Usage!$C$2,3,8))+HEX2DEC(MID($N$41,3,5))*4+0,8),4))</f>
        <v/>
      </c>
    </row>
    <row r="42" ht="20.1" customHeight="1">
      <c r="A42" s="24" t="n"/>
      <c r="B42" s="47" t="inlineStr">
        <is>
          <t>X</t>
        </is>
      </c>
      <c r="C42" s="24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24" t="n"/>
      <c r="M42" s="24" t="n"/>
      <c r="N42" s="24" t="n"/>
      <c r="O42" s="47">
        <f>CONCATENATE("0x",DEC2HEX(HEX2DEC(MID($N$41,3,5))*4+2,6))</f>
        <v/>
      </c>
      <c r="P42" s="47" t="inlineStr">
        <is>
          <t>-</t>
        </is>
      </c>
      <c r="Q42" s="47" t="inlineStr">
        <is>
          <t>X</t>
        </is>
      </c>
      <c r="R42" s="24" t="n"/>
    </row>
    <row r="43" ht="20.1" customHeight="1">
      <c r="A43" s="24" t="n"/>
      <c r="B43" s="47" t="inlineStr">
        <is>
          <t>X</t>
        </is>
      </c>
      <c r="C43" s="24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24" t="n"/>
      <c r="M43" s="24" t="n"/>
      <c r="N43" s="24" t="n"/>
      <c r="O43" s="47">
        <f>CONCATENATE("0x",DEC2HEX(HEX2DEC(MID($N$41,3,5))*4+1,6))</f>
        <v/>
      </c>
      <c r="P43" s="47" t="inlineStr">
        <is>
          <t>-</t>
        </is>
      </c>
      <c r="Q43" s="47" t="inlineStr">
        <is>
          <t>X</t>
        </is>
      </c>
      <c r="R43" s="24" t="n"/>
    </row>
    <row r="44" ht="20.1" customHeight="1">
      <c r="A44" s="25" t="n"/>
      <c r="B44" s="44" t="inlineStr">
        <is>
          <t>RW</t>
        </is>
      </c>
      <c r="C44" s="25" t="n"/>
      <c r="D44" s="19" t="n"/>
      <c r="E44" s="19" t="n"/>
      <c r="F44" s="19" t="n"/>
      <c r="G44" s="19" t="n"/>
      <c r="H44" s="44" t="inlineStr">
        <is>
          <t>ST_UNDERRUN</t>
        </is>
      </c>
      <c r="I44" s="44" t="inlineStr">
        <is>
          <t>ST_FULL</t>
        </is>
      </c>
      <c r="J44" s="44" t="inlineStr">
        <is>
          <t>ST_LOW</t>
        </is>
      </c>
      <c r="K44" s="44" t="inlineStr">
        <is>
          <t>ST_EMPTY</t>
        </is>
      </c>
      <c r="L44" s="25" t="n"/>
      <c r="M44" s="25" t="n"/>
      <c r="N44" s="25" t="n"/>
      <c r="O44" s="44">
        <f>CONCATENATE("0x",DEC2HEX(HEX2DEC(MID($N$41,3,5))*4+0,6))</f>
        <v/>
      </c>
      <c r="P44" s="44" t="inlineStr">
        <is>
          <t>0x00</t>
        </is>
      </c>
      <c r="Q44" s="44" t="inlineStr">
        <is>
          <t>O</t>
        </is>
      </c>
      <c r="R44" s="25" t="n"/>
    </row>
    <row r="45" ht="20.1" customHeight="1">
      <c r="A45" s="28" t="inlineStr">
        <is>
          <t>0x00006</t>
        </is>
      </c>
      <c r="B45" s="49" t="inlineStr">
        <is>
          <t>X</t>
        </is>
      </c>
      <c r="C45" s="28" t="inlineStr">
        <is>
          <t>TX_FIFO_CLEAR</t>
        </is>
      </c>
      <c r="D45" s="14" t="n"/>
      <c r="E45" s="14" t="n"/>
      <c r="F45" s="14" t="n"/>
      <c r="G45" s="14" t="n"/>
      <c r="H45" s="14" t="n"/>
      <c r="I45" s="14" t="n"/>
      <c r="J45" s="14" t="n"/>
      <c r="K45" s="14" t="n"/>
      <c r="L45" s="23" t="inlineStr">
        <is>
          <t>CLR: flush the TX FIFO only</t>
        </is>
      </c>
      <c r="M45" s="23" t="inlineStr">
        <is>
          <t>Write 0b1: flush
Write 1 while CLR_BUSY = 1: SLVERR
Read returns SLVERR (write-only)</t>
        </is>
      </c>
      <c r="N45" s="28">
        <f>CONCATENATE("0x",DEC2HEX(HEX2DEC(MID(Module_Address_Usage!$C$4,3,5))+HEX2DEC(MID($O$27,3,5))+HEX2DEC(MID($A45,3,5)),5))</f>
        <v/>
      </c>
      <c r="O45" s="49">
        <f>CONCATENATE("0x",DEC2HEX(HEX2DEC(MID($N$45,3,5))*4+3,6))</f>
        <v/>
      </c>
      <c r="P45" s="49" t="inlineStr">
        <is>
          <t>-</t>
        </is>
      </c>
      <c r="Q45" s="49" t="inlineStr">
        <is>
          <t>X</t>
        </is>
      </c>
      <c r="R45" s="28">
        <f>CONCATENATE("0x",LEFT(DEC2HEX(HEX2DEC(MID(Module_Address_Usage!$C$2,3,8))+HEX2DEC(MID($N$45,3,5))*4+0,8),4),"_",RIGHT(DEC2HEX(HEX2DEC(MID(Module_Address_Usage!$C$2,3,8))+HEX2DEC(MID($N$45,3,5))*4+0,8),4))</f>
        <v/>
      </c>
    </row>
    <row r="46" ht="20.1" customHeight="1">
      <c r="A46" s="24" t="n"/>
      <c r="B46" s="47" t="inlineStr">
        <is>
          <t>X</t>
        </is>
      </c>
      <c r="C46" s="24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24" t="n"/>
      <c r="M46" s="24" t="n"/>
      <c r="N46" s="24" t="n"/>
      <c r="O46" s="47">
        <f>CONCATENATE("0x",DEC2HEX(HEX2DEC(MID($N$45,3,5))*4+2,6))</f>
        <v/>
      </c>
      <c r="P46" s="47" t="inlineStr">
        <is>
          <t>-</t>
        </is>
      </c>
      <c r="Q46" s="47" t="inlineStr">
        <is>
          <t>X</t>
        </is>
      </c>
      <c r="R46" s="24" t="n"/>
    </row>
    <row r="47" ht="20.1" customHeight="1">
      <c r="A47" s="24" t="n"/>
      <c r="B47" s="47" t="inlineStr">
        <is>
          <t>X</t>
        </is>
      </c>
      <c r="C47" s="24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24" t="n"/>
      <c r="M47" s="24" t="n"/>
      <c r="N47" s="24" t="n"/>
      <c r="O47" s="47">
        <f>CONCATENATE("0x",DEC2HEX(HEX2DEC(MID($N$45,3,5))*4+1,6))</f>
        <v/>
      </c>
      <c r="P47" s="47" t="inlineStr">
        <is>
          <t>-</t>
        </is>
      </c>
      <c r="Q47" s="47" t="inlineStr">
        <is>
          <t>X</t>
        </is>
      </c>
      <c r="R47" s="24" t="n"/>
    </row>
    <row r="48" ht="20.1" customHeight="1">
      <c r="A48" s="25" t="n"/>
      <c r="B48" s="44" t="inlineStr">
        <is>
          <t>WO</t>
        </is>
      </c>
      <c r="C48" s="25" t="n"/>
      <c r="D48" s="19" t="n"/>
      <c r="E48" s="19" t="n"/>
      <c r="F48" s="19" t="n"/>
      <c r="G48" s="19" t="n"/>
      <c r="H48" s="19" t="n"/>
      <c r="I48" s="19" t="n"/>
      <c r="J48" s="19" t="n"/>
      <c r="K48" s="44" t="inlineStr">
        <is>
          <t>CLR</t>
        </is>
      </c>
      <c r="L48" s="25" t="n"/>
      <c r="M48" s="25" t="n"/>
      <c r="N48" s="25" t="n"/>
      <c r="O48" s="44">
        <f>CONCATENATE("0x",DEC2HEX(HEX2DEC(MID($N$45,3,5))*4+0,6))</f>
        <v/>
      </c>
      <c r="P48" s="44" t="inlineStr">
        <is>
          <t>0x00</t>
        </is>
      </c>
      <c r="Q48" s="44" t="inlineStr">
        <is>
          <t>O</t>
        </is>
      </c>
      <c r="R48" s="25" t="n"/>
    </row>
    <row r="49" ht="20.1" customHeight="1">
      <c r="A49" s="28" t="inlineStr">
        <is>
          <t>0x00007</t>
        </is>
      </c>
      <c r="B49" s="49" t="inlineStr">
        <is>
          <t>X</t>
        </is>
      </c>
      <c r="C49" s="28" t="inlineStr">
        <is>
          <t>TX_SYNC1</t>
        </is>
      </c>
      <c r="D49" s="14" t="n"/>
      <c r="E49" s="14" t="n"/>
      <c r="F49" s="14" t="n"/>
      <c r="G49" s="14" t="n"/>
      <c r="H49" s="14" t="n"/>
      <c r="I49" s="14" t="n"/>
      <c r="J49" s="14" t="n"/>
      <c r="K49" s="14" t="n"/>
      <c r="L49" s="23" t="inlineStr">
        <is>
          <t>SYNC1[11:0]: TX sync word 1 code</t>
        </is>
      </c>
      <c r="M49" s="23" t="inlineStr">
        <is>
          <t>Default 0x247 (octal 1107)</t>
        </is>
      </c>
      <c r="N49" s="28">
        <f>CONCATENATE("0x",DEC2HEX(HEX2DEC(MID(Module_Address_Usage!$C$4,3,5))+HEX2DEC(MID($O$27,3,5))+HEX2DEC(MID($A49,3,5)),5))</f>
        <v/>
      </c>
      <c r="O49" s="49">
        <f>CONCATENATE("0x",DEC2HEX(HEX2DEC(MID($N$49,3,5))*4+3,6))</f>
        <v/>
      </c>
      <c r="P49" s="49" t="inlineStr">
        <is>
          <t>-</t>
        </is>
      </c>
      <c r="Q49" s="49" t="inlineStr">
        <is>
          <t>X</t>
        </is>
      </c>
      <c r="R49" s="28">
        <f>CONCATENATE("0x",LEFT(DEC2HEX(HEX2DEC(MID(Module_Address_Usage!$C$2,3,8))+HEX2DEC(MID($N$49,3,5))*4+0,8),4),"_",RIGHT(DEC2HEX(HEX2DEC(MID(Module_Address_Usage!$C$2,3,8))+HEX2DEC(MID($N$49,3,5))*4+0,8),4))</f>
        <v/>
      </c>
    </row>
    <row r="50" ht="20.1" customHeight="1">
      <c r="A50" s="24" t="n"/>
      <c r="B50" s="47" t="inlineStr">
        <is>
          <t>X</t>
        </is>
      </c>
      <c r="C50" s="24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24" t="n"/>
      <c r="M50" s="24" t="n"/>
      <c r="N50" s="24" t="n"/>
      <c r="O50" s="47">
        <f>CONCATENATE("0x",DEC2HEX(HEX2DEC(MID($N$49,3,5))*4+2,6))</f>
        <v/>
      </c>
      <c r="P50" s="47" t="inlineStr">
        <is>
          <t>-</t>
        </is>
      </c>
      <c r="Q50" s="47" t="inlineStr">
        <is>
          <t>X</t>
        </is>
      </c>
      <c r="R50" s="24" t="n"/>
    </row>
    <row r="51" ht="20.1" customHeight="1">
      <c r="A51" s="24" t="n"/>
      <c r="B51" s="47" t="inlineStr">
        <is>
          <t>RW</t>
        </is>
      </c>
      <c r="C51" s="24" t="n"/>
      <c r="D51" s="17" t="n"/>
      <c r="E51" s="17" t="n"/>
      <c r="F51" s="17" t="n"/>
      <c r="G51" s="17" t="n"/>
      <c r="H51" s="47" t="inlineStr">
        <is>
          <t>SYNC1[11:8]</t>
        </is>
      </c>
      <c r="I51" s="48" t="n"/>
      <c r="J51" s="48" t="n"/>
      <c r="K51" s="36" t="n"/>
      <c r="L51" s="24" t="n"/>
      <c r="M51" s="24" t="n"/>
      <c r="N51" s="24" t="n"/>
      <c r="O51" s="47">
        <f>CONCATENATE("0x",DEC2HEX(HEX2DEC(MID($N$49,3,5))*4+1,6))</f>
        <v/>
      </c>
      <c r="P51" s="47" t="inlineStr">
        <is>
          <t>0x02</t>
        </is>
      </c>
      <c r="Q51" s="47" t="inlineStr">
        <is>
          <t>O</t>
        </is>
      </c>
      <c r="R51" s="24" t="n"/>
    </row>
    <row r="52" ht="20.1" customHeight="1">
      <c r="A52" s="25" t="n"/>
      <c r="B52" s="44" t="inlineStr">
        <is>
          <t>RW</t>
        </is>
      </c>
      <c r="C52" s="25" t="n"/>
      <c r="D52" s="44" t="inlineStr">
        <is>
          <t>SYNC1[7:0]</t>
        </is>
      </c>
      <c r="E52" s="45" t="n"/>
      <c r="F52" s="45" t="n"/>
      <c r="G52" s="45" t="n"/>
      <c r="H52" s="45" t="n"/>
      <c r="I52" s="45" t="n"/>
      <c r="J52" s="45" t="n"/>
      <c r="K52" s="46" t="n"/>
      <c r="L52" s="25" t="n"/>
      <c r="M52" s="25" t="n"/>
      <c r="N52" s="25" t="n"/>
      <c r="O52" s="44">
        <f>CONCATENATE("0x",DEC2HEX(HEX2DEC(MID($N$49,3,5))*4+0,6))</f>
        <v/>
      </c>
      <c r="P52" s="44" t="inlineStr">
        <is>
          <t>0x47</t>
        </is>
      </c>
      <c r="Q52" s="44" t="inlineStr">
        <is>
          <t>O</t>
        </is>
      </c>
      <c r="R52" s="25" t="n"/>
    </row>
    <row r="53" ht="20.1" customHeight="1">
      <c r="A53" s="28" t="inlineStr">
        <is>
          <t>0x00008</t>
        </is>
      </c>
      <c r="B53" s="49" t="inlineStr">
        <is>
          <t>X</t>
        </is>
      </c>
      <c r="C53" s="28" t="inlineStr">
        <is>
          <t>TX_SYNC2</t>
        </is>
      </c>
      <c r="D53" s="14" t="n"/>
      <c r="E53" s="14" t="n"/>
      <c r="F53" s="14" t="n"/>
      <c r="G53" s="14" t="n"/>
      <c r="H53" s="14" t="n"/>
      <c r="I53" s="14" t="n"/>
      <c r="J53" s="14" t="n"/>
      <c r="K53" s="14" t="n"/>
      <c r="L53" s="23" t="inlineStr">
        <is>
          <t>SYNC2[11:0]: TX sync word 2 code</t>
        </is>
      </c>
      <c r="M53" s="23" t="inlineStr">
        <is>
          <t>Default 0x5B8 (octal 2670)</t>
        </is>
      </c>
      <c r="N53" s="28">
        <f>CONCATENATE("0x",DEC2HEX(HEX2DEC(MID(Module_Address_Usage!$C$4,3,5))+HEX2DEC(MID($O$27,3,5))+HEX2DEC(MID($A53,3,5)),5))</f>
        <v/>
      </c>
      <c r="O53" s="49">
        <f>CONCATENATE("0x",DEC2HEX(HEX2DEC(MID($N$53,3,5))*4+3,6))</f>
        <v/>
      </c>
      <c r="P53" s="49" t="inlineStr">
        <is>
          <t>-</t>
        </is>
      </c>
      <c r="Q53" s="49" t="inlineStr">
        <is>
          <t>X</t>
        </is>
      </c>
      <c r="R53" s="28">
        <f>CONCATENATE("0x",LEFT(DEC2HEX(HEX2DEC(MID(Module_Address_Usage!$C$2,3,8))+HEX2DEC(MID($N$53,3,5))*4+0,8),4),"_",RIGHT(DEC2HEX(HEX2DEC(MID(Module_Address_Usage!$C$2,3,8))+HEX2DEC(MID($N$53,3,5))*4+0,8),4))</f>
        <v/>
      </c>
    </row>
    <row r="54" ht="20.1" customHeight="1">
      <c r="A54" s="24" t="n"/>
      <c r="B54" s="47" t="inlineStr">
        <is>
          <t>X</t>
        </is>
      </c>
      <c r="C54" s="24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24" t="n"/>
      <c r="M54" s="24" t="n"/>
      <c r="N54" s="24" t="n"/>
      <c r="O54" s="47">
        <f>CONCATENATE("0x",DEC2HEX(HEX2DEC(MID($N$53,3,5))*4+2,6))</f>
        <v/>
      </c>
      <c r="P54" s="47" t="inlineStr">
        <is>
          <t>-</t>
        </is>
      </c>
      <c r="Q54" s="47" t="inlineStr">
        <is>
          <t>X</t>
        </is>
      </c>
      <c r="R54" s="24" t="n"/>
    </row>
    <row r="55" ht="20.1" customHeight="1">
      <c r="A55" s="24" t="n"/>
      <c r="B55" s="47" t="inlineStr">
        <is>
          <t>RW</t>
        </is>
      </c>
      <c r="C55" s="24" t="n"/>
      <c r="D55" s="17" t="n"/>
      <c r="E55" s="17" t="n"/>
      <c r="F55" s="17" t="n"/>
      <c r="G55" s="17" t="n"/>
      <c r="H55" s="47" t="inlineStr">
        <is>
          <t>SYNC2[11:8]</t>
        </is>
      </c>
      <c r="I55" s="48" t="n"/>
      <c r="J55" s="48" t="n"/>
      <c r="K55" s="36" t="n"/>
      <c r="L55" s="24" t="n"/>
      <c r="M55" s="24" t="n"/>
      <c r="N55" s="24" t="n"/>
      <c r="O55" s="47">
        <f>CONCATENATE("0x",DEC2HEX(HEX2DEC(MID($N$53,3,5))*4+1,6))</f>
        <v/>
      </c>
      <c r="P55" s="47" t="inlineStr">
        <is>
          <t>0x05</t>
        </is>
      </c>
      <c r="Q55" s="47" t="inlineStr">
        <is>
          <t>O</t>
        </is>
      </c>
      <c r="R55" s="24" t="n"/>
    </row>
    <row r="56" ht="20.1" customHeight="1">
      <c r="A56" s="25" t="n"/>
      <c r="B56" s="44" t="inlineStr">
        <is>
          <t>RW</t>
        </is>
      </c>
      <c r="C56" s="25" t="n"/>
      <c r="D56" s="44" t="inlineStr">
        <is>
          <t>SYNC2[7:0]</t>
        </is>
      </c>
      <c r="E56" s="45" t="n"/>
      <c r="F56" s="45" t="n"/>
      <c r="G56" s="45" t="n"/>
      <c r="H56" s="45" t="n"/>
      <c r="I56" s="45" t="n"/>
      <c r="J56" s="45" t="n"/>
      <c r="K56" s="46" t="n"/>
      <c r="L56" s="25" t="n"/>
      <c r="M56" s="25" t="n"/>
      <c r="N56" s="25" t="n"/>
      <c r="O56" s="44">
        <f>CONCATENATE("0x",DEC2HEX(HEX2DEC(MID($N$53,3,5))*4+0,6))</f>
        <v/>
      </c>
      <c r="P56" s="44" t="inlineStr">
        <is>
          <t>0xB8</t>
        </is>
      </c>
      <c r="Q56" s="44" t="inlineStr">
        <is>
          <t>O</t>
        </is>
      </c>
      <c r="R56" s="25" t="n"/>
    </row>
    <row r="57" ht="20.1" customHeight="1">
      <c r="A57" s="28" t="inlineStr">
        <is>
          <t>0x00009</t>
        </is>
      </c>
      <c r="B57" s="49" t="inlineStr">
        <is>
          <t>X</t>
        </is>
      </c>
      <c r="C57" s="28" t="inlineStr">
        <is>
          <t>TX_SYNC3</t>
        </is>
      </c>
      <c r="D57" s="14" t="n"/>
      <c r="E57" s="14" t="n"/>
      <c r="F57" s="14" t="n"/>
      <c r="G57" s="14" t="n"/>
      <c r="H57" s="14" t="n"/>
      <c r="I57" s="14" t="n"/>
      <c r="J57" s="14" t="n"/>
      <c r="K57" s="14" t="n"/>
      <c r="L57" s="23" t="inlineStr">
        <is>
          <t>SYNC3[11:0]: TX sync word 3 code</t>
        </is>
      </c>
      <c r="M57" s="23" t="inlineStr">
        <is>
          <t>Default 0xA47 (octal 5107)</t>
        </is>
      </c>
      <c r="N57" s="28">
        <f>CONCATENATE("0x",DEC2HEX(HEX2DEC(MID(Module_Address_Usage!$C$4,3,5))+HEX2DEC(MID($O$27,3,5))+HEX2DEC(MID($A57,3,5)),5))</f>
        <v/>
      </c>
      <c r="O57" s="49">
        <f>CONCATENATE("0x",DEC2HEX(HEX2DEC(MID($N$57,3,5))*4+3,6))</f>
        <v/>
      </c>
      <c r="P57" s="49" t="inlineStr">
        <is>
          <t>-</t>
        </is>
      </c>
      <c r="Q57" s="49" t="inlineStr">
        <is>
          <t>X</t>
        </is>
      </c>
      <c r="R57" s="28">
        <f>CONCATENATE("0x",LEFT(DEC2HEX(HEX2DEC(MID(Module_Address_Usage!$C$2,3,8))+HEX2DEC(MID($N$57,3,5))*4+0,8),4),"_",RIGHT(DEC2HEX(HEX2DEC(MID(Module_Address_Usage!$C$2,3,8))+HEX2DEC(MID($N$57,3,5))*4+0,8),4))</f>
        <v/>
      </c>
    </row>
    <row r="58" ht="20.1" customHeight="1">
      <c r="A58" s="24" t="n"/>
      <c r="B58" s="47" t="inlineStr">
        <is>
          <t>X</t>
        </is>
      </c>
      <c r="C58" s="24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24" t="n"/>
      <c r="M58" s="24" t="n"/>
      <c r="N58" s="24" t="n"/>
      <c r="O58" s="47">
        <f>CONCATENATE("0x",DEC2HEX(HEX2DEC(MID($N$57,3,5))*4+2,6))</f>
        <v/>
      </c>
      <c r="P58" s="47" t="inlineStr">
        <is>
          <t>-</t>
        </is>
      </c>
      <c r="Q58" s="47" t="inlineStr">
        <is>
          <t>X</t>
        </is>
      </c>
      <c r="R58" s="24" t="n"/>
    </row>
    <row r="59" ht="20.1" customHeight="1">
      <c r="A59" s="24" t="n"/>
      <c r="B59" s="47" t="inlineStr">
        <is>
          <t>RW</t>
        </is>
      </c>
      <c r="C59" s="24" t="n"/>
      <c r="D59" s="17" t="n"/>
      <c r="E59" s="17" t="n"/>
      <c r="F59" s="17" t="n"/>
      <c r="G59" s="17" t="n"/>
      <c r="H59" s="47" t="inlineStr">
        <is>
          <t>SYNC3[11:8]</t>
        </is>
      </c>
      <c r="I59" s="48" t="n"/>
      <c r="J59" s="48" t="n"/>
      <c r="K59" s="36" t="n"/>
      <c r="L59" s="24" t="n"/>
      <c r="M59" s="24" t="n"/>
      <c r="N59" s="24" t="n"/>
      <c r="O59" s="47">
        <f>CONCATENATE("0x",DEC2HEX(HEX2DEC(MID($N$57,3,5))*4+1,6))</f>
        <v/>
      </c>
      <c r="P59" s="47" t="inlineStr">
        <is>
          <t>0x0A</t>
        </is>
      </c>
      <c r="Q59" s="47" t="inlineStr">
        <is>
          <t>O</t>
        </is>
      </c>
      <c r="R59" s="24" t="n"/>
    </row>
    <row r="60" ht="20.1" customHeight="1">
      <c r="A60" s="25" t="n"/>
      <c r="B60" s="44" t="inlineStr">
        <is>
          <t>RW</t>
        </is>
      </c>
      <c r="C60" s="25" t="n"/>
      <c r="D60" s="44" t="inlineStr">
        <is>
          <t>SYNC3[7:0]</t>
        </is>
      </c>
      <c r="E60" s="45" t="n"/>
      <c r="F60" s="45" t="n"/>
      <c r="G60" s="45" t="n"/>
      <c r="H60" s="45" t="n"/>
      <c r="I60" s="45" t="n"/>
      <c r="J60" s="45" t="n"/>
      <c r="K60" s="46" t="n"/>
      <c r="L60" s="25" t="n"/>
      <c r="M60" s="25" t="n"/>
      <c r="N60" s="25" t="n"/>
      <c r="O60" s="44">
        <f>CONCATENATE("0x",DEC2HEX(HEX2DEC(MID($N$57,3,5))*4+0,6))</f>
        <v/>
      </c>
      <c r="P60" s="44" t="inlineStr">
        <is>
          <t>0x47</t>
        </is>
      </c>
      <c r="Q60" s="44" t="inlineStr">
        <is>
          <t>O</t>
        </is>
      </c>
      <c r="R60" s="25" t="n"/>
    </row>
    <row r="61" ht="20.1" customHeight="1">
      <c r="A61" s="28" t="inlineStr">
        <is>
          <t>0x0000A</t>
        </is>
      </c>
      <c r="B61" s="49" t="inlineStr">
        <is>
          <t>X</t>
        </is>
      </c>
      <c r="C61" s="28" t="inlineStr">
        <is>
          <t>TX_SYNC4</t>
        </is>
      </c>
      <c r="D61" s="14" t="n"/>
      <c r="E61" s="14" t="n"/>
      <c r="F61" s="14" t="n"/>
      <c r="G61" s="14" t="n"/>
      <c r="H61" s="14" t="n"/>
      <c r="I61" s="14" t="n"/>
      <c r="J61" s="14" t="n"/>
      <c r="K61" s="14" t="n"/>
      <c r="L61" s="23" t="inlineStr">
        <is>
          <t>SYNC4[11:0]: TX sync word 4 code</t>
        </is>
      </c>
      <c r="M61" s="23" t="inlineStr">
        <is>
          <t>Default 0xDB8 (octal 6670)</t>
        </is>
      </c>
      <c r="N61" s="28">
        <f>CONCATENATE("0x",DEC2HEX(HEX2DEC(MID(Module_Address_Usage!$C$4,3,5))+HEX2DEC(MID($O$27,3,5))+HEX2DEC(MID($A61,3,5)),5))</f>
        <v/>
      </c>
      <c r="O61" s="49">
        <f>CONCATENATE("0x",DEC2HEX(HEX2DEC(MID($N$61,3,5))*4+3,6))</f>
        <v/>
      </c>
      <c r="P61" s="49" t="inlineStr">
        <is>
          <t>-</t>
        </is>
      </c>
      <c r="Q61" s="49" t="inlineStr">
        <is>
          <t>X</t>
        </is>
      </c>
      <c r="R61" s="28">
        <f>CONCATENATE("0x",LEFT(DEC2HEX(HEX2DEC(MID(Module_Address_Usage!$C$2,3,8))+HEX2DEC(MID($N$61,3,5))*4+0,8),4),"_",RIGHT(DEC2HEX(HEX2DEC(MID(Module_Address_Usage!$C$2,3,8))+HEX2DEC(MID($N$61,3,5))*4+0,8),4))</f>
        <v/>
      </c>
    </row>
    <row r="62" ht="20.1" customHeight="1">
      <c r="A62" s="24" t="n"/>
      <c r="B62" s="47" t="inlineStr">
        <is>
          <t>X</t>
        </is>
      </c>
      <c r="C62" s="24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24" t="n"/>
      <c r="M62" s="24" t="n"/>
      <c r="N62" s="24" t="n"/>
      <c r="O62" s="47">
        <f>CONCATENATE("0x",DEC2HEX(HEX2DEC(MID($N$61,3,5))*4+2,6))</f>
        <v/>
      </c>
      <c r="P62" s="47" t="inlineStr">
        <is>
          <t>-</t>
        </is>
      </c>
      <c r="Q62" s="47" t="inlineStr">
        <is>
          <t>X</t>
        </is>
      </c>
      <c r="R62" s="24" t="n"/>
    </row>
    <row r="63" ht="20.1" customHeight="1">
      <c r="A63" s="24" t="n"/>
      <c r="B63" s="47" t="inlineStr">
        <is>
          <t>RW</t>
        </is>
      </c>
      <c r="C63" s="24" t="n"/>
      <c r="D63" s="17" t="n"/>
      <c r="E63" s="17" t="n"/>
      <c r="F63" s="17" t="n"/>
      <c r="G63" s="17" t="n"/>
      <c r="H63" s="47" t="inlineStr">
        <is>
          <t>SYNC4[11:8]</t>
        </is>
      </c>
      <c r="I63" s="48" t="n"/>
      <c r="J63" s="48" t="n"/>
      <c r="K63" s="36" t="n"/>
      <c r="L63" s="24" t="n"/>
      <c r="M63" s="24" t="n"/>
      <c r="N63" s="24" t="n"/>
      <c r="O63" s="47">
        <f>CONCATENATE("0x",DEC2HEX(HEX2DEC(MID($N$61,3,5))*4+1,6))</f>
        <v/>
      </c>
      <c r="P63" s="47" t="inlineStr">
        <is>
          <t>0x0D</t>
        </is>
      </c>
      <c r="Q63" s="47" t="inlineStr">
        <is>
          <t>O</t>
        </is>
      </c>
      <c r="R63" s="24" t="n"/>
    </row>
    <row r="64" ht="20.1" customHeight="1">
      <c r="A64" s="25" t="n"/>
      <c r="B64" s="44" t="inlineStr">
        <is>
          <t>RW</t>
        </is>
      </c>
      <c r="C64" s="25" t="n"/>
      <c r="D64" s="44" t="inlineStr">
        <is>
          <t>SYNC4[7:0]</t>
        </is>
      </c>
      <c r="E64" s="45" t="n"/>
      <c r="F64" s="45" t="n"/>
      <c r="G64" s="45" t="n"/>
      <c r="H64" s="45" t="n"/>
      <c r="I64" s="45" t="n"/>
      <c r="J64" s="45" t="n"/>
      <c r="K64" s="46" t="n"/>
      <c r="L64" s="25" t="n"/>
      <c r="M64" s="25" t="n"/>
      <c r="N64" s="25" t="n"/>
      <c r="O64" s="44">
        <f>CONCATENATE("0x",DEC2HEX(HEX2DEC(MID($N$61,3,5))*4+0,6))</f>
        <v/>
      </c>
      <c r="P64" s="44" t="inlineStr">
        <is>
          <t>0xB8</t>
        </is>
      </c>
      <c r="Q64" s="44" t="inlineStr">
        <is>
          <t>O</t>
        </is>
      </c>
      <c r="R64" s="25" t="n"/>
    </row>
    <row r="65" ht="27" customHeight="1">
      <c r="A65" s="28" t="inlineStr">
        <is>
          <t>0x0000B
~ 0x0000B</t>
        </is>
      </c>
      <c r="B65" s="28" t="inlineStr">
        <is>
          <t>X</t>
        </is>
      </c>
      <c r="C65" s="28" t="inlineStr">
        <is>
          <t>Reserved</t>
        </is>
      </c>
      <c r="D65" s="41" t="n"/>
      <c r="E65" s="42" t="n"/>
      <c r="F65" s="42" t="n"/>
      <c r="G65" s="42" t="n"/>
      <c r="H65" s="42" t="n"/>
      <c r="I65" s="42" t="n"/>
      <c r="J65" s="42" t="n"/>
      <c r="K65" s="43" t="n"/>
      <c r="L65" s="23" t="inlineStr">
        <is>
          <t>Reserved</t>
        </is>
      </c>
      <c r="M65" s="23" t="inlineStr">
        <is>
          <t>Write ignored, read returns 0x0000_0000</t>
        </is>
      </c>
      <c r="N65" s="28">
        <f>CONCATENATE("0x",DEC2HEX(HEX2DEC(MID(Module_Address_Usage!$C$4,3,5))+HEX2DEC(MID($O$27,3,5))+HEX2DEC(MID($A65,3,5)),5))&amp;CHAR(10)&amp;"~ "&amp;CONCATENATE("0x",DEC2HEX(HEX2DEC(MID(Module_Address_Usage!$C$4,3,5))+HEX2DEC(MID($O$27,3,5))+HEX2DEC(MID($A65,13,5)),5))</f>
        <v/>
      </c>
      <c r="O65" s="28">
        <f>CONCATENATE("0x",DEC2HEX(HEX2DEC(MID(CONCATENATE("0x",DEC2HEX(HEX2DEC(MID(Module_Address_Usage!$C$4,3,5))+HEX2DEC(MID($O$27,3,5))+HEX2DEC(MID($A65,3,5)),5)),3,5))*4+0,6))&amp;CHAR(10)&amp;"~ "&amp;CONCATENATE("0x",DEC2HEX(HEX2DEC(MID(CONCATENATE("0x",DEC2HEX(HEX2DEC(MID(Module_Address_Usage!$C$4,3,5))+HEX2DEC(MID($O$27,3,5))+HEX2DEC(MID($A65,13,5)),5)),3,5))*4+3,6))</f>
        <v/>
      </c>
      <c r="P65" s="28" t="inlineStr">
        <is>
          <t>-</t>
        </is>
      </c>
      <c r="Q65" s="28" t="inlineStr">
        <is>
          <t>X</t>
        </is>
      </c>
      <c r="R65" s="28">
        <f>CONCATENATE("0x",LEFT(DEC2HEX(HEX2DEC(MID(Module_Address_Usage!$C$2,3,8))+HEX2DEC(MID(CONCATENATE("0x",DEC2HEX(HEX2DEC(MID(Module_Address_Usage!$C$4,3,5))+HEX2DEC(MID($O$27,3,5))+HEX2DEC(MID($A65,3,5)),5)),3,5))*4+0,8),4),"_",RIGHT(DEC2HEX(HEX2DEC(MID(Module_Address_Usage!$C$2,3,8))+HEX2DEC(MID(CONCATENATE("0x",DEC2HEX(HEX2DEC(MID(Module_Address_Usage!$C$4,3,5))+HEX2DEC(MID($O$27,3,5))+HEX2DEC(MID($A65,3,5)),5)),3,5))*4+0,8),4))&amp;CHAR(10)&amp;"~ "&amp;CONCATENATE("0x",LEFT(DEC2HEX(HEX2DEC(MID(Module_Address_Usage!$C$2,3,8))+HEX2DEC(MID(CONCATENATE("0x",DEC2HEX(HEX2DEC(MID(Module_Address_Usage!$C$4,3,5))+HEX2DEC(MID($O$27,3,5))+HEX2DEC(MID($A65,13,5)),5)),3,5))*4+3,8),4),"_",RIGHT(DEC2HEX(HEX2DEC(MID(Module_Address_Usage!$C$2,3,8))+HEX2DEC(MID(CONCATENATE("0x",DEC2HEX(HEX2DEC(MID(Module_Address_Usage!$C$4,3,5))+HEX2DEC(MID($O$27,3,5))+HEX2DEC(MID($A65,13,5)),5)),3,5))*4+3,8),4))</f>
        <v/>
      </c>
    </row>
    <row r="66" ht="20.1" customHeight="1">
      <c r="A66" s="28" t="inlineStr">
        <is>
          <t>0x0000C</t>
        </is>
      </c>
      <c r="B66" s="49" t="inlineStr">
        <is>
          <t>RO</t>
        </is>
      </c>
      <c r="C66" s="28" t="inlineStr">
        <is>
          <t>TX_WORD_CNT</t>
        </is>
      </c>
      <c r="D66" s="49" t="inlineStr">
        <is>
          <t>TX_WORD_CNT[31:24]</t>
        </is>
      </c>
      <c r="E66" s="50" t="n"/>
      <c r="F66" s="50" t="n"/>
      <c r="G66" s="50" t="n"/>
      <c r="H66" s="50" t="n"/>
      <c r="I66" s="50" t="n"/>
      <c r="J66" s="50" t="n"/>
      <c r="K66" s="51" t="n"/>
      <c r="L66" s="23" t="inlineStr">
        <is>
          <t>TX_WORD_CNT[31:0]: words started by the TX path</t>
        </is>
      </c>
      <c r="M66" s="23" t="inlineStr">
        <is>
          <t>Saturates at 0xFFFF_FFFF
Cleared by TX_CNT_CLEAR, SOFT_RESET
Write returns SLVERR (no effect)</t>
        </is>
      </c>
      <c r="N66" s="28">
        <f>CONCATENATE("0x",DEC2HEX(HEX2DEC(MID(Module_Address_Usage!$C$4,3,5))+HEX2DEC(MID($O$27,3,5))+HEX2DEC(MID($A66,3,5)),5))</f>
        <v/>
      </c>
      <c r="O66" s="49">
        <f>CONCATENATE("0x",DEC2HEX(HEX2DEC(MID($N$66,3,5))*4+3,6))</f>
        <v/>
      </c>
      <c r="P66" s="49" t="inlineStr">
        <is>
          <t>-</t>
        </is>
      </c>
      <c r="Q66" s="49" t="inlineStr">
        <is>
          <t>O</t>
        </is>
      </c>
      <c r="R66" s="28">
        <f>CONCATENATE("0x",LEFT(DEC2HEX(HEX2DEC(MID(Module_Address_Usage!$C$2,3,8))+HEX2DEC(MID($N$66,3,5))*4+0,8),4),"_",RIGHT(DEC2HEX(HEX2DEC(MID(Module_Address_Usage!$C$2,3,8))+HEX2DEC(MID($N$66,3,5))*4+0,8),4))</f>
        <v/>
      </c>
    </row>
    <row r="67" ht="20.1" customHeight="1">
      <c r="A67" s="24" t="n"/>
      <c r="B67" s="47" t="inlineStr">
        <is>
          <t>RO</t>
        </is>
      </c>
      <c r="C67" s="24" t="n"/>
      <c r="D67" s="47" t="inlineStr">
        <is>
          <t>TX_WORD_CNT[23:16]</t>
        </is>
      </c>
      <c r="E67" s="48" t="n"/>
      <c r="F67" s="48" t="n"/>
      <c r="G67" s="48" t="n"/>
      <c r="H67" s="48" t="n"/>
      <c r="I67" s="48" t="n"/>
      <c r="J67" s="48" t="n"/>
      <c r="K67" s="36" t="n"/>
      <c r="L67" s="24" t="n"/>
      <c r="M67" s="24" t="n"/>
      <c r="N67" s="24" t="n"/>
      <c r="O67" s="47">
        <f>CONCATENATE("0x",DEC2HEX(HEX2DEC(MID($N$66,3,5))*4+2,6))</f>
        <v/>
      </c>
      <c r="P67" s="47" t="inlineStr">
        <is>
          <t>-</t>
        </is>
      </c>
      <c r="Q67" s="47" t="inlineStr">
        <is>
          <t>O</t>
        </is>
      </c>
      <c r="R67" s="24" t="n"/>
    </row>
    <row r="68" ht="20.1" customHeight="1">
      <c r="A68" s="24" t="n"/>
      <c r="B68" s="47" t="inlineStr">
        <is>
          <t>RO</t>
        </is>
      </c>
      <c r="C68" s="24" t="n"/>
      <c r="D68" s="47" t="inlineStr">
        <is>
          <t>TX_WORD_CNT[15:8]</t>
        </is>
      </c>
      <c r="E68" s="48" t="n"/>
      <c r="F68" s="48" t="n"/>
      <c r="G68" s="48" t="n"/>
      <c r="H68" s="48" t="n"/>
      <c r="I68" s="48" t="n"/>
      <c r="J68" s="48" t="n"/>
      <c r="K68" s="36" t="n"/>
      <c r="L68" s="24" t="n"/>
      <c r="M68" s="24" t="n"/>
      <c r="N68" s="24" t="n"/>
      <c r="O68" s="47">
        <f>CONCATENATE("0x",DEC2HEX(HEX2DEC(MID($N$66,3,5))*4+1,6))</f>
        <v/>
      </c>
      <c r="P68" s="47" t="inlineStr">
        <is>
          <t>-</t>
        </is>
      </c>
      <c r="Q68" s="47" t="inlineStr">
        <is>
          <t>O</t>
        </is>
      </c>
      <c r="R68" s="24" t="n"/>
    </row>
    <row r="69" ht="20.1" customHeight="1">
      <c r="A69" s="25" t="n"/>
      <c r="B69" s="44" t="inlineStr">
        <is>
          <t>RO</t>
        </is>
      </c>
      <c r="C69" s="25" t="n"/>
      <c r="D69" s="44" t="inlineStr">
        <is>
          <t>TX_WORD_CNT[7:0]</t>
        </is>
      </c>
      <c r="E69" s="45" t="n"/>
      <c r="F69" s="45" t="n"/>
      <c r="G69" s="45" t="n"/>
      <c r="H69" s="45" t="n"/>
      <c r="I69" s="45" t="n"/>
      <c r="J69" s="45" t="n"/>
      <c r="K69" s="46" t="n"/>
      <c r="L69" s="25" t="n"/>
      <c r="M69" s="25" t="n"/>
      <c r="N69" s="25" t="n"/>
      <c r="O69" s="44">
        <f>CONCATENATE("0x",DEC2HEX(HEX2DEC(MID($N$66,3,5))*4+0,6))</f>
        <v/>
      </c>
      <c r="P69" s="44" t="inlineStr">
        <is>
          <t>-</t>
        </is>
      </c>
      <c r="Q69" s="44" t="inlineStr">
        <is>
          <t>O</t>
        </is>
      </c>
      <c r="R69" s="25" t="n"/>
    </row>
    <row r="70" ht="20.1" customHeight="1">
      <c r="A70" s="28" t="inlineStr">
        <is>
          <t>0x0000D</t>
        </is>
      </c>
      <c r="B70" s="49" t="inlineStr">
        <is>
          <t>RO</t>
        </is>
      </c>
      <c r="C70" s="28" t="inlineStr">
        <is>
          <t>TX_BIT_CNT</t>
        </is>
      </c>
      <c r="D70" s="49" t="inlineStr">
        <is>
          <t>TX_BIT_CNT[31:24]</t>
        </is>
      </c>
      <c r="E70" s="50" t="n"/>
      <c r="F70" s="50" t="n"/>
      <c r="G70" s="50" t="n"/>
      <c r="H70" s="50" t="n"/>
      <c r="I70" s="50" t="n"/>
      <c r="J70" s="50" t="n"/>
      <c r="K70" s="51" t="n"/>
      <c r="L70" s="23" t="inlineStr">
        <is>
          <t>TX_BIT_CNT[31:0]: bit cells started by the TX path</t>
        </is>
      </c>
      <c r="M70" s="23" t="inlineStr">
        <is>
          <t>Saturates at 0xFFFF_FFFF
Cleared by TX_CNT_CLEAR, SOFT_RESET
Write returns SLVERR (no effect)</t>
        </is>
      </c>
      <c r="N70" s="28">
        <f>CONCATENATE("0x",DEC2HEX(HEX2DEC(MID(Module_Address_Usage!$C$4,3,5))+HEX2DEC(MID($O$27,3,5))+HEX2DEC(MID($A70,3,5)),5))</f>
        <v/>
      </c>
      <c r="O70" s="49">
        <f>CONCATENATE("0x",DEC2HEX(HEX2DEC(MID($N$70,3,5))*4+3,6))</f>
        <v/>
      </c>
      <c r="P70" s="49" t="inlineStr">
        <is>
          <t>-</t>
        </is>
      </c>
      <c r="Q70" s="49" t="inlineStr">
        <is>
          <t>O</t>
        </is>
      </c>
      <c r="R70" s="28">
        <f>CONCATENATE("0x",LEFT(DEC2HEX(HEX2DEC(MID(Module_Address_Usage!$C$2,3,8))+HEX2DEC(MID($N$70,3,5))*4+0,8),4),"_",RIGHT(DEC2HEX(HEX2DEC(MID(Module_Address_Usage!$C$2,3,8))+HEX2DEC(MID($N$70,3,5))*4+0,8),4))</f>
        <v/>
      </c>
    </row>
    <row r="71" ht="20.1" customHeight="1">
      <c r="A71" s="24" t="n"/>
      <c r="B71" s="47" t="inlineStr">
        <is>
          <t>RO</t>
        </is>
      </c>
      <c r="C71" s="24" t="n"/>
      <c r="D71" s="47" t="inlineStr">
        <is>
          <t>TX_BIT_CNT[23:16]</t>
        </is>
      </c>
      <c r="E71" s="48" t="n"/>
      <c r="F71" s="48" t="n"/>
      <c r="G71" s="48" t="n"/>
      <c r="H71" s="48" t="n"/>
      <c r="I71" s="48" t="n"/>
      <c r="J71" s="48" t="n"/>
      <c r="K71" s="36" t="n"/>
      <c r="L71" s="24" t="n"/>
      <c r="M71" s="24" t="n"/>
      <c r="N71" s="24" t="n"/>
      <c r="O71" s="47">
        <f>CONCATENATE("0x",DEC2HEX(HEX2DEC(MID($N$70,3,5))*4+2,6))</f>
        <v/>
      </c>
      <c r="P71" s="47" t="inlineStr">
        <is>
          <t>-</t>
        </is>
      </c>
      <c r="Q71" s="47" t="inlineStr">
        <is>
          <t>O</t>
        </is>
      </c>
      <c r="R71" s="24" t="n"/>
    </row>
    <row r="72" ht="20.1" customHeight="1">
      <c r="A72" s="24" t="n"/>
      <c r="B72" s="47" t="inlineStr">
        <is>
          <t>RO</t>
        </is>
      </c>
      <c r="C72" s="24" t="n"/>
      <c r="D72" s="47" t="inlineStr">
        <is>
          <t>TX_BIT_CNT[15:8]</t>
        </is>
      </c>
      <c r="E72" s="48" t="n"/>
      <c r="F72" s="48" t="n"/>
      <c r="G72" s="48" t="n"/>
      <c r="H72" s="48" t="n"/>
      <c r="I72" s="48" t="n"/>
      <c r="J72" s="48" t="n"/>
      <c r="K72" s="36" t="n"/>
      <c r="L72" s="24" t="n"/>
      <c r="M72" s="24" t="n"/>
      <c r="N72" s="24" t="n"/>
      <c r="O72" s="47">
        <f>CONCATENATE("0x",DEC2HEX(HEX2DEC(MID($N$70,3,5))*4+1,6))</f>
        <v/>
      </c>
      <c r="P72" s="47" t="inlineStr">
        <is>
          <t>-</t>
        </is>
      </c>
      <c r="Q72" s="47" t="inlineStr">
        <is>
          <t>O</t>
        </is>
      </c>
      <c r="R72" s="24" t="n"/>
    </row>
    <row r="73" ht="20.1" customHeight="1">
      <c r="A73" s="25" t="n"/>
      <c r="B73" s="44" t="inlineStr">
        <is>
          <t>RO</t>
        </is>
      </c>
      <c r="C73" s="25" t="n"/>
      <c r="D73" s="44" t="inlineStr">
        <is>
          <t>TX_BIT_CNT[7:0]</t>
        </is>
      </c>
      <c r="E73" s="45" t="n"/>
      <c r="F73" s="45" t="n"/>
      <c r="G73" s="45" t="n"/>
      <c r="H73" s="45" t="n"/>
      <c r="I73" s="45" t="n"/>
      <c r="J73" s="45" t="n"/>
      <c r="K73" s="46" t="n"/>
      <c r="L73" s="25" t="n"/>
      <c r="M73" s="25" t="n"/>
      <c r="N73" s="25" t="n"/>
      <c r="O73" s="44">
        <f>CONCATENATE("0x",DEC2HEX(HEX2DEC(MID($N$70,3,5))*4+0,6))</f>
        <v/>
      </c>
      <c r="P73" s="44" t="inlineStr">
        <is>
          <t>-</t>
        </is>
      </c>
      <c r="Q73" s="44" t="inlineStr">
        <is>
          <t>O</t>
        </is>
      </c>
      <c r="R73" s="25" t="n"/>
    </row>
    <row r="74" ht="20.1" customHeight="1">
      <c r="A74" s="28" t="inlineStr">
        <is>
          <t>0x0000E</t>
        </is>
      </c>
      <c r="B74" s="49" t="inlineStr">
        <is>
          <t>X</t>
        </is>
      </c>
      <c r="C74" s="28" t="inlineStr">
        <is>
          <t>TX_CNT_CLEAR</t>
        </is>
      </c>
      <c r="D74" s="14" t="n"/>
      <c r="E74" s="14" t="n"/>
      <c r="F74" s="14" t="n"/>
      <c r="G74" s="14" t="n"/>
      <c r="H74" s="14" t="n"/>
      <c r="I74" s="14" t="n"/>
      <c r="J74" s="14" t="n"/>
      <c r="K74" s="14" t="n"/>
      <c r="L74" s="23" t="inlineStr">
        <is>
          <t>CLR: clear TX_WORD_CNT and TX_BIT_CNT</t>
        </is>
      </c>
      <c r="M74" s="23" t="inlineStr">
        <is>
          <t>Write 0b1: clear
Read returns SLVERR</t>
        </is>
      </c>
      <c r="N74" s="28">
        <f>CONCATENATE("0x",DEC2HEX(HEX2DEC(MID(Module_Address_Usage!$C$4,3,5))+HEX2DEC(MID($O$27,3,5))+HEX2DEC(MID($A74,3,5)),5))</f>
        <v/>
      </c>
      <c r="O74" s="49">
        <f>CONCATENATE("0x",DEC2HEX(HEX2DEC(MID($N$74,3,5))*4+3,6))</f>
        <v/>
      </c>
      <c r="P74" s="49" t="inlineStr">
        <is>
          <t>-</t>
        </is>
      </c>
      <c r="Q74" s="49" t="inlineStr">
        <is>
          <t>X</t>
        </is>
      </c>
      <c r="R74" s="28">
        <f>CONCATENATE("0x",LEFT(DEC2HEX(HEX2DEC(MID(Module_Address_Usage!$C$2,3,8))+HEX2DEC(MID($N$74,3,5))*4+0,8),4),"_",RIGHT(DEC2HEX(HEX2DEC(MID(Module_Address_Usage!$C$2,3,8))+HEX2DEC(MID($N$74,3,5))*4+0,8),4))</f>
        <v/>
      </c>
    </row>
    <row r="75" ht="20.1" customHeight="1">
      <c r="A75" s="24" t="n"/>
      <c r="B75" s="47" t="inlineStr">
        <is>
          <t>X</t>
        </is>
      </c>
      <c r="C75" s="24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24" t="n"/>
      <c r="M75" s="24" t="n"/>
      <c r="N75" s="24" t="n"/>
      <c r="O75" s="47">
        <f>CONCATENATE("0x",DEC2HEX(HEX2DEC(MID($N$74,3,5))*4+2,6))</f>
        <v/>
      </c>
      <c r="P75" s="47" t="inlineStr">
        <is>
          <t>-</t>
        </is>
      </c>
      <c r="Q75" s="47" t="inlineStr">
        <is>
          <t>X</t>
        </is>
      </c>
      <c r="R75" s="24" t="n"/>
    </row>
    <row r="76" ht="20.1" customHeight="1">
      <c r="A76" s="24" t="n"/>
      <c r="B76" s="47" t="inlineStr">
        <is>
          <t>X</t>
        </is>
      </c>
      <c r="C76" s="24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24" t="n"/>
      <c r="M76" s="24" t="n"/>
      <c r="N76" s="24" t="n"/>
      <c r="O76" s="47">
        <f>CONCATENATE("0x",DEC2HEX(HEX2DEC(MID($N$74,3,5))*4+1,6))</f>
        <v/>
      </c>
      <c r="P76" s="47" t="inlineStr">
        <is>
          <t>-</t>
        </is>
      </c>
      <c r="Q76" s="47" t="inlineStr">
        <is>
          <t>X</t>
        </is>
      </c>
      <c r="R76" s="24" t="n"/>
    </row>
    <row r="77" ht="20.1" customHeight="1">
      <c r="A77" s="25" t="n"/>
      <c r="B77" s="44" t="inlineStr">
        <is>
          <t>WO</t>
        </is>
      </c>
      <c r="C77" s="25" t="n"/>
      <c r="D77" s="19" t="n"/>
      <c r="E77" s="19" t="n"/>
      <c r="F77" s="19" t="n"/>
      <c r="G77" s="19" t="n"/>
      <c r="H77" s="19" t="n"/>
      <c r="I77" s="19" t="n"/>
      <c r="J77" s="19" t="n"/>
      <c r="K77" s="44" t="inlineStr">
        <is>
          <t>CLR</t>
        </is>
      </c>
      <c r="L77" s="25" t="n"/>
      <c r="M77" s="25" t="n"/>
      <c r="N77" s="25" t="n"/>
      <c r="O77" s="44">
        <f>CONCATENATE("0x",DEC2HEX(HEX2DEC(MID($N$74,3,5))*4+0,6))</f>
        <v/>
      </c>
      <c r="P77" s="44" t="inlineStr">
        <is>
          <t>0x00</t>
        </is>
      </c>
      <c r="Q77" s="44" t="inlineStr">
        <is>
          <t>O</t>
        </is>
      </c>
      <c r="R77" s="25" t="n"/>
    </row>
    <row r="78" ht="27" customHeight="1">
      <c r="A78" s="28" t="inlineStr">
        <is>
          <t>0x0000F
~ 0x0000F</t>
        </is>
      </c>
      <c r="B78" s="28" t="inlineStr">
        <is>
          <t>X</t>
        </is>
      </c>
      <c r="C78" s="28" t="inlineStr">
        <is>
          <t>Reserved</t>
        </is>
      </c>
      <c r="D78" s="41" t="n"/>
      <c r="E78" s="42" t="n"/>
      <c r="F78" s="42" t="n"/>
      <c r="G78" s="42" t="n"/>
      <c r="H78" s="42" t="n"/>
      <c r="I78" s="42" t="n"/>
      <c r="J78" s="42" t="n"/>
      <c r="K78" s="43" t="n"/>
      <c r="L78" s="23" t="inlineStr">
        <is>
          <t>Reserved</t>
        </is>
      </c>
      <c r="M78" s="23" t="inlineStr">
        <is>
          <t>Write ignored, read returns 0x0000_0000</t>
        </is>
      </c>
      <c r="N78" s="28">
        <f>CONCATENATE("0x",DEC2HEX(HEX2DEC(MID(Module_Address_Usage!$C$4,3,5))+HEX2DEC(MID($O$27,3,5))+HEX2DEC(MID($A78,3,5)),5))&amp;CHAR(10)&amp;"~ "&amp;CONCATENATE("0x",DEC2HEX(HEX2DEC(MID(Module_Address_Usage!$C$4,3,5))+HEX2DEC(MID($O$27,3,5))+HEX2DEC(MID($A78,13,5)),5))</f>
        <v/>
      </c>
      <c r="O78" s="28">
        <f>CONCATENATE("0x",DEC2HEX(HEX2DEC(MID(CONCATENATE("0x",DEC2HEX(HEX2DEC(MID(Module_Address_Usage!$C$4,3,5))+HEX2DEC(MID($O$27,3,5))+HEX2DEC(MID($A78,3,5)),5)),3,5))*4+0,6))&amp;CHAR(10)&amp;"~ "&amp;CONCATENATE("0x",DEC2HEX(HEX2DEC(MID(CONCATENATE("0x",DEC2HEX(HEX2DEC(MID(Module_Address_Usage!$C$4,3,5))+HEX2DEC(MID($O$27,3,5))+HEX2DEC(MID($A78,13,5)),5)),3,5))*4+3,6))</f>
        <v/>
      </c>
      <c r="P78" s="28" t="inlineStr">
        <is>
          <t>-</t>
        </is>
      </c>
      <c r="Q78" s="28" t="inlineStr">
        <is>
          <t>X</t>
        </is>
      </c>
      <c r="R78" s="28">
        <f>CONCATENATE("0x",LEFT(DEC2HEX(HEX2DEC(MID(Module_Address_Usage!$C$2,3,8))+HEX2DEC(MID(CONCATENATE("0x",DEC2HEX(HEX2DEC(MID(Module_Address_Usage!$C$4,3,5))+HEX2DEC(MID($O$27,3,5))+HEX2DEC(MID($A78,3,5)),5)),3,5))*4+0,8),4),"_",RIGHT(DEC2HEX(HEX2DEC(MID(Module_Address_Usage!$C$2,3,8))+HEX2DEC(MID(CONCATENATE("0x",DEC2HEX(HEX2DEC(MID(Module_Address_Usage!$C$4,3,5))+HEX2DEC(MID($O$27,3,5))+HEX2DEC(MID($A78,3,5)),5)),3,5))*4+0,8),4))&amp;CHAR(10)&amp;"~ "&amp;CONCATENATE("0x",LEFT(DEC2HEX(HEX2DEC(MID(Module_Address_Usage!$C$2,3,8))+HEX2DEC(MID(CONCATENATE("0x",DEC2HEX(HEX2DEC(MID(Module_Address_Usage!$C$4,3,5))+HEX2DEC(MID($O$27,3,5))+HEX2DEC(MID($A78,13,5)),5)),3,5))*4+3,8),4),"_",RIGHT(DEC2HEX(HEX2DEC(MID(Module_Address_Usage!$C$2,3,8))+HEX2DEC(MID(CONCATENATE("0x",DEC2HEX(HEX2DEC(MID(Module_Address_Usage!$C$4,3,5))+HEX2DEC(MID($O$27,3,5))+HEX2DEC(MID($A78,13,5)),5)),3,5))*4+3,8),4))</f>
        <v/>
      </c>
    </row>
    <row r="79" ht="27" customHeight="1">
      <c r="A79" s="26" t="n"/>
      <c r="B79" s="26" t="n"/>
      <c r="C79" s="26" t="n"/>
      <c r="D79" s="26" t="inlineStr">
        <is>
          <t>RX Control / Status</t>
        </is>
      </c>
      <c r="E79" s="48" t="n"/>
      <c r="F79" s="48" t="n"/>
      <c r="G79" s="48" t="n"/>
      <c r="H79" s="48" t="n"/>
      <c r="I79" s="48" t="n"/>
      <c r="J79" s="48" t="n"/>
      <c r="K79" s="36" t="n"/>
      <c r="L79" s="37" t="n"/>
      <c r="M79" s="26" t="n"/>
      <c r="N79" s="26" t="inlineStr">
        <is>
          <t>Base 
Address</t>
        </is>
      </c>
      <c r="O79" s="26" t="inlineStr">
        <is>
          <t>0x00018</t>
        </is>
      </c>
      <c r="P79" s="26" t="n"/>
      <c r="Q79" s="26" t="n"/>
      <c r="R79" s="26" t="n"/>
    </row>
    <row r="80" ht="28" customHeight="1">
      <c r="A80" s="28" t="inlineStr">
        <is>
          <t>0x00000</t>
        </is>
      </c>
      <c r="B80" s="49" t="inlineStr">
        <is>
          <t>X</t>
        </is>
      </c>
      <c r="C80" s="28" t="inlineStr">
        <is>
          <t>RX_CTRL</t>
        </is>
      </c>
      <c r="D80" s="14" t="n"/>
      <c r="E80" s="14" t="n"/>
      <c r="F80" s="14" t="n"/>
      <c r="G80" s="14" t="n"/>
      <c r="H80" s="14" t="n"/>
      <c r="I80" s="14" t="n"/>
      <c r="J80" s="14" t="n"/>
      <c r="K80" s="14" t="n"/>
      <c r="L80" s="23" t="inlineStr">
        <is>
          <t>RXSEL: decoder select (OR-ed with RSEL pin)
NOSYNC: disable sync detection
SFTSYNC: sync-word mode
TEST: digital loopback TX -&gt; RX
RX_RATE[3:0]: RX word-rate select (spec Table 5)</t>
        </is>
      </c>
      <c r="M80" s="23" t="inlineStr">
        <is>
          <t>RXSEL 0b0: HBP, 0b1: BPRZ
SFTSYNC 0b0: 4 sync words, 0b1: 2
NOSYNC / TEST 0b1: enable
RX_RATE 0x8 ~ 0xF: as 0x0 (64 wps)
Bits [7:4] and [31:12] reserved: write 0, read 0
RX_RATE / NOSYNC / mode bits applied only while rx_active = 0</t>
        </is>
      </c>
      <c r="N80" s="28">
        <f>CONCATENATE("0x",DEC2HEX(HEX2DEC(MID(Module_Address_Usage!$C$4,3,5))+HEX2DEC(MID($O$79,3,5))+HEX2DEC(MID($A80,3,5)),5))</f>
        <v/>
      </c>
      <c r="O80" s="49">
        <f>CONCATENATE("0x",DEC2HEX(HEX2DEC(MID($N$80,3,5))*4+3,6))</f>
        <v/>
      </c>
      <c r="P80" s="49" t="inlineStr">
        <is>
          <t>-</t>
        </is>
      </c>
      <c r="Q80" s="49" t="inlineStr">
        <is>
          <t>X</t>
        </is>
      </c>
      <c r="R80" s="28">
        <f>CONCATENATE("0x",LEFT(DEC2HEX(HEX2DEC(MID(Module_Address_Usage!$C$2,3,8))+HEX2DEC(MID($N$80,3,5))*4+0,8),4),"_",RIGHT(DEC2HEX(HEX2DEC(MID(Module_Address_Usage!$C$2,3,8))+HEX2DEC(MID($N$80,3,5))*4+0,8),4))</f>
        <v/>
      </c>
    </row>
    <row r="81" ht="28" customHeight="1">
      <c r="A81" s="24" t="n"/>
      <c r="B81" s="47" t="inlineStr">
        <is>
          <t>X</t>
        </is>
      </c>
      <c r="C81" s="24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24" t="n"/>
      <c r="M81" s="24" t="n"/>
      <c r="N81" s="24" t="n"/>
      <c r="O81" s="47">
        <f>CONCATENATE("0x",DEC2HEX(HEX2DEC(MID($N$80,3,5))*4+2,6))</f>
        <v/>
      </c>
      <c r="P81" s="47" t="inlineStr">
        <is>
          <t>-</t>
        </is>
      </c>
      <c r="Q81" s="47" t="inlineStr">
        <is>
          <t>X</t>
        </is>
      </c>
      <c r="R81" s="24" t="n"/>
    </row>
    <row r="82" ht="28" customHeight="1">
      <c r="A82" s="24" t="n"/>
      <c r="B82" s="47" t="inlineStr">
        <is>
          <t>RW</t>
        </is>
      </c>
      <c r="C82" s="24" t="n"/>
      <c r="D82" s="17" t="n"/>
      <c r="E82" s="17" t="n"/>
      <c r="F82" s="17" t="n"/>
      <c r="G82" s="17" t="n"/>
      <c r="H82" s="47" t="inlineStr">
        <is>
          <t>RX_RATE[3:0]</t>
        </is>
      </c>
      <c r="I82" s="48" t="n"/>
      <c r="J82" s="48" t="n"/>
      <c r="K82" s="36" t="n"/>
      <c r="L82" s="24" t="n"/>
      <c r="M82" s="24" t="n"/>
      <c r="N82" s="24" t="n"/>
      <c r="O82" s="47">
        <f>CONCATENATE("0x",DEC2HEX(HEX2DEC(MID($N$80,3,5))*4+1,6))</f>
        <v/>
      </c>
      <c r="P82" s="47" t="inlineStr">
        <is>
          <t>0x00</t>
        </is>
      </c>
      <c r="Q82" s="47" t="inlineStr">
        <is>
          <t>O</t>
        </is>
      </c>
      <c r="R82" s="24" t="n"/>
    </row>
    <row r="83" ht="28" customHeight="1">
      <c r="A83" s="25" t="n"/>
      <c r="B83" s="44" t="inlineStr">
        <is>
          <t>RW</t>
        </is>
      </c>
      <c r="C83" s="25" t="n"/>
      <c r="D83" s="19" t="n"/>
      <c r="E83" s="19" t="n"/>
      <c r="F83" s="19" t="n"/>
      <c r="G83" s="19" t="n"/>
      <c r="H83" s="44" t="inlineStr">
        <is>
          <t>TEST</t>
        </is>
      </c>
      <c r="I83" s="44" t="inlineStr">
        <is>
          <t>SFTSYNC</t>
        </is>
      </c>
      <c r="J83" s="44" t="inlineStr">
        <is>
          <t>NOSYNC</t>
        </is>
      </c>
      <c r="K83" s="44" t="inlineStr">
        <is>
          <t>RXSEL</t>
        </is>
      </c>
      <c r="L83" s="25" t="n"/>
      <c r="M83" s="25" t="n"/>
      <c r="N83" s="25" t="n"/>
      <c r="O83" s="44">
        <f>CONCATENATE("0x",DEC2HEX(HEX2DEC(MID($N$80,3,5))*4+0,6))</f>
        <v/>
      </c>
      <c r="P83" s="44" t="inlineStr">
        <is>
          <t>0x00</t>
        </is>
      </c>
      <c r="Q83" s="44" t="inlineStr">
        <is>
          <t>O</t>
        </is>
      </c>
      <c r="R83" s="25" t="n"/>
    </row>
    <row r="84" ht="44.875" customHeight="1">
      <c r="A84" s="28" t="inlineStr">
        <is>
          <t>0x00001</t>
        </is>
      </c>
      <c r="B84" s="49" t="inlineStr">
        <is>
          <t>X</t>
        </is>
      </c>
      <c r="C84" s="28" t="inlineStr">
        <is>
          <t>RX_STATUS</t>
        </is>
      </c>
      <c r="D84" s="14" t="n"/>
      <c r="E84" s="14" t="n"/>
      <c r="F84" s="14" t="n"/>
      <c r="G84" s="14" t="n"/>
      <c r="H84" s="14" t="n"/>
      <c r="I84" s="14" t="n"/>
      <c r="J84" s="14" t="n"/>
      <c r="K84" s="14" t="n"/>
      <c r="L84" s="23" t="inlineStr">
        <is>
          <t>EMPTY / HALF / FULL: RX FIFO flags
OVERFLOW: sticky, word lost while FULL
INSYNC: frame-synchronized
SYNC[1:0]: current subframe; MATCH: WRDCNT match
LOST_CAUSE[1:0]: why INSYNC fell last time</t>
        </is>
      </c>
      <c r="M84" s="23" t="inlineStr">
        <is>
          <t>SYNC 0b00 ~ 0b11: SYNC1 ~ SYNC4
LOST_CAUSE 0b01: wrong sync code
0b10: RX_ERR_LIMIT, 0b11: watchdog
Reset: EMPTY = 1
Write returns SLVERR (no effect)
LOST_CAUSE 0b00: no loss yet
LOST_CAUSE cleared by hardware reset, SOFT_RESET and when GLOBAL_EN AND RX_EN rises (not by RX_ERR_CLEAR)
OVERFLOW cleared by W1C on RX_IRQ_STATUS.ST_OVERFLOW or SOFT_RESET
MATCH is one word-time wide: use ST_MATCH</t>
        </is>
      </c>
      <c r="N84" s="28">
        <f>CONCATENATE("0x",DEC2HEX(HEX2DEC(MID(Module_Address_Usage!$C$4,3,5))+HEX2DEC(MID($O$79,3,5))+HEX2DEC(MID($A84,3,5)),5))</f>
        <v/>
      </c>
      <c r="O84" s="49">
        <f>CONCATENATE("0x",DEC2HEX(HEX2DEC(MID($N$84,3,5))*4+3,6))</f>
        <v/>
      </c>
      <c r="P84" s="49" t="inlineStr">
        <is>
          <t>-</t>
        </is>
      </c>
      <c r="Q84" s="49" t="inlineStr">
        <is>
          <t>X</t>
        </is>
      </c>
      <c r="R84" s="28">
        <f>CONCATENATE("0x",LEFT(DEC2HEX(HEX2DEC(MID(Module_Address_Usage!$C$2,3,8))+HEX2DEC(MID($N$84,3,5))*4+0,8),4),"_",RIGHT(DEC2HEX(HEX2DEC(MID(Module_Address_Usage!$C$2,3,8))+HEX2DEC(MID($N$84,3,5))*4+0,8),4))</f>
        <v/>
      </c>
    </row>
    <row r="85" ht="44.875" customHeight="1">
      <c r="A85" s="24" t="n"/>
      <c r="B85" s="47" t="inlineStr">
        <is>
          <t>X</t>
        </is>
      </c>
      <c r="C85" s="24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24" t="n"/>
      <c r="M85" s="24" t="n"/>
      <c r="N85" s="24" t="n"/>
      <c r="O85" s="47">
        <f>CONCATENATE("0x",DEC2HEX(HEX2DEC(MID($N$84,3,5))*4+2,6))</f>
        <v/>
      </c>
      <c r="P85" s="47" t="inlineStr">
        <is>
          <t>-</t>
        </is>
      </c>
      <c r="Q85" s="47" t="inlineStr">
        <is>
          <t>X</t>
        </is>
      </c>
      <c r="R85" s="24" t="n"/>
    </row>
    <row r="86" ht="44.875" customHeight="1">
      <c r="A86" s="24" t="n"/>
      <c r="B86" s="47" t="inlineStr">
        <is>
          <t>RO</t>
        </is>
      </c>
      <c r="C86" s="24" t="n"/>
      <c r="D86" s="17" t="n"/>
      <c r="E86" s="17" t="n"/>
      <c r="F86" s="17" t="n"/>
      <c r="G86" s="17" t="n"/>
      <c r="H86" s="17" t="n"/>
      <c r="I86" s="17" t="n"/>
      <c r="J86" s="47" t="inlineStr">
        <is>
          <t>LOST_CAUSE[1:0]</t>
        </is>
      </c>
      <c r="K86" s="36" t="n"/>
      <c r="L86" s="24" t="n"/>
      <c r="M86" s="24" t="n"/>
      <c r="N86" s="24" t="n"/>
      <c r="O86" s="47">
        <f>CONCATENATE("0x",DEC2HEX(HEX2DEC(MID($N$84,3,5))*4+1,6))</f>
        <v/>
      </c>
      <c r="P86" s="47" t="inlineStr">
        <is>
          <t>-</t>
        </is>
      </c>
      <c r="Q86" s="47" t="inlineStr">
        <is>
          <t>O</t>
        </is>
      </c>
      <c r="R86" s="24" t="n"/>
    </row>
    <row r="87" ht="44.875" customHeight="1">
      <c r="A87" s="25" t="n"/>
      <c r="B87" s="44" t="inlineStr">
        <is>
          <t>RO</t>
        </is>
      </c>
      <c r="C87" s="25" t="n"/>
      <c r="D87" s="44" t="inlineStr">
        <is>
          <t>MATCH</t>
        </is>
      </c>
      <c r="E87" s="44" t="inlineStr">
        <is>
          <t>SYNC[1:0]</t>
        </is>
      </c>
      <c r="F87" s="46" t="n"/>
      <c r="G87" s="44" t="inlineStr">
        <is>
          <t>INSYNC</t>
        </is>
      </c>
      <c r="H87" s="44" t="inlineStr">
        <is>
          <t>OVERFLOW</t>
        </is>
      </c>
      <c r="I87" s="44" t="inlineStr">
        <is>
          <t>FULL</t>
        </is>
      </c>
      <c r="J87" s="44" t="inlineStr">
        <is>
          <t>HALF</t>
        </is>
      </c>
      <c r="K87" s="44" t="inlineStr">
        <is>
          <t>EMPTY</t>
        </is>
      </c>
      <c r="L87" s="25" t="n"/>
      <c r="M87" s="25" t="n"/>
      <c r="N87" s="25" t="n"/>
      <c r="O87" s="44">
        <f>CONCATENATE("0x",DEC2HEX(HEX2DEC(MID($N$84,3,5))*4+0,6))</f>
        <v/>
      </c>
      <c r="P87" s="44" t="inlineStr">
        <is>
          <t>0x01</t>
        </is>
      </c>
      <c r="Q87" s="44" t="inlineStr">
        <is>
          <t>O</t>
        </is>
      </c>
      <c r="R87" s="25" t="n"/>
    </row>
    <row r="88" ht="34.75" customHeight="1">
      <c r="A88" s="28" t="inlineStr">
        <is>
          <t>0x00002</t>
        </is>
      </c>
      <c r="B88" s="49" t="inlineStr">
        <is>
          <t>X</t>
        </is>
      </c>
      <c r="C88" s="28" t="inlineStr">
        <is>
          <t>INJ_CTRL</t>
        </is>
      </c>
      <c r="D88" s="14" t="n"/>
      <c r="E88" s="14" t="n"/>
      <c r="F88" s="14" t="n"/>
      <c r="G88" s="14" t="n"/>
      <c r="H88" s="14" t="n"/>
      <c r="I88" s="14" t="n"/>
      <c r="J88" s="14" t="n"/>
      <c r="K88" s="14" t="n"/>
      <c r="L88" s="23" t="inlineStr">
        <is>
          <t>INJ_EN: pattern injector enable
INJ_START: start a run (self-clearing)
INJ_MODE: run mode (spec 12.14)</t>
        </is>
      </c>
      <c r="M88" s="23" t="inlineStr">
        <is>
          <t>INJ_MODE 0b0: run once
INJ_MODE 0b1: continuous
No effect if INCLUDE_INJECTOR = 0
INJ_START ignored if INJ_EN = 0 or INJ_BUSY = 1; always reads 0
Run once = 1 + 6 x W words
Applied only while the path of the destination is inactive
Set RX_EN / TX_EN (per INJ_DST) before INJ_START</t>
        </is>
      </c>
      <c r="N88" s="28">
        <f>CONCATENATE("0x",DEC2HEX(HEX2DEC(MID(Module_Address_Usage!$C$4,3,5))+HEX2DEC(MID($O$79,3,5))+HEX2DEC(MID($A88,3,5)),5))</f>
        <v/>
      </c>
      <c r="O88" s="49">
        <f>CONCATENATE("0x",DEC2HEX(HEX2DEC(MID($N$88,3,5))*4+3,6))</f>
        <v/>
      </c>
      <c r="P88" s="49" t="inlineStr">
        <is>
          <t>-</t>
        </is>
      </c>
      <c r="Q88" s="49" t="inlineStr">
        <is>
          <t>X</t>
        </is>
      </c>
      <c r="R88" s="28">
        <f>CONCATENATE("0x",LEFT(DEC2HEX(HEX2DEC(MID(Module_Address_Usage!$C$2,3,8))+HEX2DEC(MID($N$88,3,5))*4+0,8),4),"_",RIGHT(DEC2HEX(HEX2DEC(MID(Module_Address_Usage!$C$2,3,8))+HEX2DEC(MID($N$88,3,5))*4+0,8),4))</f>
        <v/>
      </c>
    </row>
    <row r="89" ht="34.75" customHeight="1">
      <c r="A89" s="24" t="n"/>
      <c r="B89" s="47" t="inlineStr">
        <is>
          <t>X</t>
        </is>
      </c>
      <c r="C89" s="24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24" t="n"/>
      <c r="M89" s="24" t="n"/>
      <c r="N89" s="24" t="n"/>
      <c r="O89" s="47">
        <f>CONCATENATE("0x",DEC2HEX(HEX2DEC(MID($N$88,3,5))*4+2,6))</f>
        <v/>
      </c>
      <c r="P89" s="47" t="inlineStr">
        <is>
          <t>-</t>
        </is>
      </c>
      <c r="Q89" s="47" t="inlineStr">
        <is>
          <t>X</t>
        </is>
      </c>
      <c r="R89" s="24" t="n"/>
    </row>
    <row r="90" ht="34.75" customHeight="1">
      <c r="A90" s="24" t="n"/>
      <c r="B90" s="47" t="inlineStr">
        <is>
          <t>X</t>
        </is>
      </c>
      <c r="C90" s="24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24" t="n"/>
      <c r="M90" s="24" t="n"/>
      <c r="N90" s="24" t="n"/>
      <c r="O90" s="47">
        <f>CONCATENATE("0x",DEC2HEX(HEX2DEC(MID($N$88,3,5))*4+1,6))</f>
        <v/>
      </c>
      <c r="P90" s="47" t="inlineStr">
        <is>
          <t>-</t>
        </is>
      </c>
      <c r="Q90" s="47" t="inlineStr">
        <is>
          <t>X</t>
        </is>
      </c>
      <c r="R90" s="24" t="n"/>
    </row>
    <row r="91" ht="34.75" customHeight="1">
      <c r="A91" s="25" t="n"/>
      <c r="B91" s="44" t="inlineStr">
        <is>
          <t>RW</t>
        </is>
      </c>
      <c r="C91" s="25" t="n"/>
      <c r="D91" s="19" t="n"/>
      <c r="E91" s="19" t="n"/>
      <c r="F91" s="19" t="n"/>
      <c r="G91" s="19" t="n"/>
      <c r="H91" s="19" t="n"/>
      <c r="I91" s="44" t="inlineStr">
        <is>
          <t>INJ_MODE</t>
        </is>
      </c>
      <c r="J91" s="44" t="inlineStr">
        <is>
          <t>INJ_START</t>
        </is>
      </c>
      <c r="K91" s="44" t="inlineStr">
        <is>
          <t>INJ_EN</t>
        </is>
      </c>
      <c r="L91" s="25" t="n"/>
      <c r="M91" s="25" t="n"/>
      <c r="N91" s="25" t="n"/>
      <c r="O91" s="44">
        <f>CONCATENATE("0x",DEC2HEX(HEX2DEC(MID($N$88,3,5))*4+0,6))</f>
        <v/>
      </c>
      <c r="P91" s="44" t="inlineStr">
        <is>
          <t>0x00</t>
        </is>
      </c>
      <c r="Q91" s="44" t="inlineStr">
        <is>
          <t>O</t>
        </is>
      </c>
      <c r="R91" s="25" t="n"/>
    </row>
    <row r="92" ht="24.625" customHeight="1">
      <c r="A92" s="28" t="inlineStr">
        <is>
          <t>0x00003</t>
        </is>
      </c>
      <c r="B92" s="49" t="inlineStr">
        <is>
          <t>X</t>
        </is>
      </c>
      <c r="C92" s="28" t="inlineStr">
        <is>
          <t>INJ_STATUS</t>
        </is>
      </c>
      <c r="D92" s="14" t="n"/>
      <c r="E92" s="14" t="n"/>
      <c r="F92" s="14" t="n"/>
      <c r="G92" s="14" t="n"/>
      <c r="H92" s="14" t="n"/>
      <c r="I92" s="14" t="n"/>
      <c r="J92" s="14" t="n"/>
      <c r="K92" s="14" t="n"/>
      <c r="L92" s="23" t="inlineStr">
        <is>
          <t>INJ_BUSY: a run is in progress
INJ_DONE: a run-once has ended</t>
        </is>
      </c>
      <c r="M92" s="23" t="inlineStr">
        <is>
          <t>0b0: false
0b1: true
Write returns SLVERR (no effect)
INJ_BUSY stays 1 in continuous mode until INJ_EN is cleared
INJ_DONE cleared by next INJ_START, INJ_EN = 0 or SOFT_RESET</t>
        </is>
      </c>
      <c r="N92" s="28">
        <f>CONCATENATE("0x",DEC2HEX(HEX2DEC(MID(Module_Address_Usage!$C$4,3,5))+HEX2DEC(MID($O$79,3,5))+HEX2DEC(MID($A92,3,5)),5))</f>
        <v/>
      </c>
      <c r="O92" s="49">
        <f>CONCATENATE("0x",DEC2HEX(HEX2DEC(MID($N$92,3,5))*4+3,6))</f>
        <v/>
      </c>
      <c r="P92" s="49" t="inlineStr">
        <is>
          <t>-</t>
        </is>
      </c>
      <c r="Q92" s="49" t="inlineStr">
        <is>
          <t>X</t>
        </is>
      </c>
      <c r="R92" s="28">
        <f>CONCATENATE("0x",LEFT(DEC2HEX(HEX2DEC(MID(Module_Address_Usage!$C$2,3,8))+HEX2DEC(MID($N$92,3,5))*4+0,8),4),"_",RIGHT(DEC2HEX(HEX2DEC(MID(Module_Address_Usage!$C$2,3,8))+HEX2DEC(MID($N$92,3,5))*4+0,8),4))</f>
        <v/>
      </c>
    </row>
    <row r="93" ht="24.625" customHeight="1">
      <c r="A93" s="24" t="n"/>
      <c r="B93" s="47" t="inlineStr">
        <is>
          <t>X</t>
        </is>
      </c>
      <c r="C93" s="24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24" t="n"/>
      <c r="M93" s="24" t="n"/>
      <c r="N93" s="24" t="n"/>
      <c r="O93" s="47">
        <f>CONCATENATE("0x",DEC2HEX(HEX2DEC(MID($N$92,3,5))*4+2,6))</f>
        <v/>
      </c>
      <c r="P93" s="47" t="inlineStr">
        <is>
          <t>-</t>
        </is>
      </c>
      <c r="Q93" s="47" t="inlineStr">
        <is>
          <t>X</t>
        </is>
      </c>
      <c r="R93" s="24" t="n"/>
    </row>
    <row r="94" ht="24.625" customHeight="1">
      <c r="A94" s="24" t="n"/>
      <c r="B94" s="47" t="inlineStr">
        <is>
          <t>X</t>
        </is>
      </c>
      <c r="C94" s="24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24" t="n"/>
      <c r="M94" s="24" t="n"/>
      <c r="N94" s="24" t="n"/>
      <c r="O94" s="47">
        <f>CONCATENATE("0x",DEC2HEX(HEX2DEC(MID($N$92,3,5))*4+1,6))</f>
        <v/>
      </c>
      <c r="P94" s="47" t="inlineStr">
        <is>
          <t>-</t>
        </is>
      </c>
      <c r="Q94" s="47" t="inlineStr">
        <is>
          <t>X</t>
        </is>
      </c>
      <c r="R94" s="24" t="n"/>
    </row>
    <row r="95" ht="24.625" customHeight="1">
      <c r="A95" s="25" t="n"/>
      <c r="B95" s="44" t="inlineStr">
        <is>
          <t>RO</t>
        </is>
      </c>
      <c r="C95" s="25" t="n"/>
      <c r="D95" s="19" t="n"/>
      <c r="E95" s="19" t="n"/>
      <c r="F95" s="19" t="n"/>
      <c r="G95" s="19" t="n"/>
      <c r="H95" s="19" t="n"/>
      <c r="I95" s="19" t="n"/>
      <c r="J95" s="44" t="inlineStr">
        <is>
          <t>INJ_DONE</t>
        </is>
      </c>
      <c r="K95" s="44" t="inlineStr">
        <is>
          <t>INJ_BUSY</t>
        </is>
      </c>
      <c r="L95" s="25" t="n"/>
      <c r="M95" s="25" t="n"/>
      <c r="N95" s="25" t="n"/>
      <c r="O95" s="44">
        <f>CONCATENATE("0x",DEC2HEX(HEX2DEC(MID($N$92,3,5))*4+0,6))</f>
        <v/>
      </c>
      <c r="P95" s="44" t="inlineStr">
        <is>
          <t>-</t>
        </is>
      </c>
      <c r="Q95" s="44" t="inlineStr">
        <is>
          <t>O</t>
        </is>
      </c>
      <c r="R95" s="25" t="n"/>
    </row>
    <row r="96" ht="20.1" customHeight="1">
      <c r="A96" s="28" t="inlineStr">
        <is>
          <t>0x00004</t>
        </is>
      </c>
      <c r="B96" s="49" t="inlineStr">
        <is>
          <t>X</t>
        </is>
      </c>
      <c r="C96" s="28" t="inlineStr">
        <is>
          <t>RX_IRQ_ENABLE</t>
        </is>
      </c>
      <c r="D96" s="14" t="n"/>
      <c r="E96" s="14" t="n"/>
      <c r="F96" s="14" t="n"/>
      <c r="G96" s="14" t="n"/>
      <c r="H96" s="14" t="n"/>
      <c r="I96" s="14" t="n"/>
      <c r="J96" s="14" t="n"/>
      <c r="K96" s="14" t="n"/>
      <c r="L96" s="23" t="inlineStr">
        <is>
          <t>Interrupt enable of RX_IRQ_STATUS bits</t>
        </is>
      </c>
      <c r="M96" s="23" t="inlineStr">
        <is>
          <t>0b0: disable
0b1: enable</t>
        </is>
      </c>
      <c r="N96" s="28">
        <f>CONCATENATE("0x",DEC2HEX(HEX2DEC(MID(Module_Address_Usage!$C$4,3,5))+HEX2DEC(MID($O$79,3,5))+HEX2DEC(MID($A96,3,5)),5))</f>
        <v/>
      </c>
      <c r="O96" s="49">
        <f>CONCATENATE("0x",DEC2HEX(HEX2DEC(MID($N$96,3,5))*4+3,6))</f>
        <v/>
      </c>
      <c r="P96" s="49" t="inlineStr">
        <is>
          <t>-</t>
        </is>
      </c>
      <c r="Q96" s="49" t="inlineStr">
        <is>
          <t>X</t>
        </is>
      </c>
      <c r="R96" s="28">
        <f>CONCATENATE("0x",LEFT(DEC2HEX(HEX2DEC(MID(Module_Address_Usage!$C$2,3,8))+HEX2DEC(MID($N$96,3,5))*4+0,8),4),"_",RIGHT(DEC2HEX(HEX2DEC(MID(Module_Address_Usage!$C$2,3,8))+HEX2DEC(MID($N$96,3,5))*4+0,8),4))</f>
        <v/>
      </c>
    </row>
    <row r="97" ht="20.1" customHeight="1">
      <c r="A97" s="24" t="n"/>
      <c r="B97" s="47" t="inlineStr">
        <is>
          <t>X</t>
        </is>
      </c>
      <c r="C97" s="24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24" t="n"/>
      <c r="M97" s="24" t="n"/>
      <c r="N97" s="24" t="n"/>
      <c r="O97" s="47">
        <f>CONCATENATE("0x",DEC2HEX(HEX2DEC(MID($N$96,3,5))*4+2,6))</f>
        <v/>
      </c>
      <c r="P97" s="47" t="inlineStr">
        <is>
          <t>-</t>
        </is>
      </c>
      <c r="Q97" s="47" t="inlineStr">
        <is>
          <t>X</t>
        </is>
      </c>
      <c r="R97" s="24" t="n"/>
    </row>
    <row r="98" ht="20.1" customHeight="1">
      <c r="A98" s="24" t="n"/>
      <c r="B98" s="47" t="inlineStr">
        <is>
          <t>X</t>
        </is>
      </c>
      <c r="C98" s="24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24" t="n"/>
      <c r="M98" s="24" t="n"/>
      <c r="N98" s="24" t="n"/>
      <c r="O98" s="47">
        <f>CONCATENATE("0x",DEC2HEX(HEX2DEC(MID($N$96,3,5))*4+1,6))</f>
        <v/>
      </c>
      <c r="P98" s="47" t="inlineStr">
        <is>
          <t>-</t>
        </is>
      </c>
      <c r="Q98" s="47" t="inlineStr">
        <is>
          <t>X</t>
        </is>
      </c>
      <c r="R98" s="24" t="n"/>
    </row>
    <row r="99" ht="20.1" customHeight="1">
      <c r="A99" s="25" t="n"/>
      <c r="B99" s="44" t="inlineStr">
        <is>
          <t>RW</t>
        </is>
      </c>
      <c r="C99" s="25" t="n"/>
      <c r="D99" s="19" t="n"/>
      <c r="E99" s="44" t="inlineStr">
        <is>
          <t>EN_BIT_ERR</t>
        </is>
      </c>
      <c r="F99" s="44" t="inlineStr">
        <is>
          <t>EN_INSYNC_LOST</t>
        </is>
      </c>
      <c r="G99" s="44" t="inlineStr">
        <is>
          <t>EN_MATCH</t>
        </is>
      </c>
      <c r="H99" s="44" t="inlineStr">
        <is>
          <t>EN_OVERFLOW</t>
        </is>
      </c>
      <c r="I99" s="44" t="inlineStr">
        <is>
          <t>EN_FULL</t>
        </is>
      </c>
      <c r="J99" s="44" t="inlineStr">
        <is>
          <t>EN_HALF</t>
        </is>
      </c>
      <c r="K99" s="44" t="inlineStr">
        <is>
          <t>EN_EMPTY</t>
        </is>
      </c>
      <c r="L99" s="25" t="n"/>
      <c r="M99" s="25" t="n"/>
      <c r="N99" s="25" t="n"/>
      <c r="O99" s="44">
        <f>CONCATENATE("0x",DEC2HEX(HEX2DEC(MID($N$96,3,5))*4+0,6))</f>
        <v/>
      </c>
      <c r="P99" s="44" t="inlineStr">
        <is>
          <t>0x00</t>
        </is>
      </c>
      <c r="Q99" s="44" t="inlineStr">
        <is>
          <t>O</t>
        </is>
      </c>
      <c r="R99" s="25" t="n"/>
    </row>
    <row r="100" ht="20.1" customHeight="1">
      <c r="A100" s="28" t="inlineStr">
        <is>
          <t>0x00005</t>
        </is>
      </c>
      <c r="B100" s="49" t="inlineStr">
        <is>
          <t>X</t>
        </is>
      </c>
      <c r="C100" s="28" t="inlineStr">
        <is>
          <t>RX_IRQ_STATUS</t>
        </is>
      </c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23" t="inlineStr">
        <is>
          <t>ST_EMPTY / ST_HALF / ST_FULL: RX FIFO events
ST_OVERFLOW: word dropped, ST_MATCH: WRDCNT
ST_INSYNC_LOST: INSYNC falls
ST_BIT_ERR: bad bit counted</t>
        </is>
      </c>
      <c r="M100" s="23" t="inlineStr">
        <is>
          <t>Sticky, edge-triggered
W1C: write 0b1 to clear
Cleared bits are those written with 0b1; bits written with 0b0 are unchanged</t>
        </is>
      </c>
      <c r="N100" s="28">
        <f>CONCATENATE("0x",DEC2HEX(HEX2DEC(MID(Module_Address_Usage!$C$4,3,5))+HEX2DEC(MID($O$79,3,5))+HEX2DEC(MID($A100,3,5)),5))</f>
        <v/>
      </c>
      <c r="O100" s="49">
        <f>CONCATENATE("0x",DEC2HEX(HEX2DEC(MID($N$100,3,5))*4+3,6))</f>
        <v/>
      </c>
      <c r="P100" s="49" t="inlineStr">
        <is>
          <t>-</t>
        </is>
      </c>
      <c r="Q100" s="49" t="inlineStr">
        <is>
          <t>X</t>
        </is>
      </c>
      <c r="R100" s="28">
        <f>CONCATENATE("0x",LEFT(DEC2HEX(HEX2DEC(MID(Module_Address_Usage!$C$2,3,8))+HEX2DEC(MID($N$100,3,5))*4+0,8),4),"_",RIGHT(DEC2HEX(HEX2DEC(MID(Module_Address_Usage!$C$2,3,8))+HEX2DEC(MID($N$100,3,5))*4+0,8),4))</f>
        <v/>
      </c>
    </row>
    <row r="101" ht="20.1" customHeight="1">
      <c r="A101" s="24" t="n"/>
      <c r="B101" s="47" t="inlineStr">
        <is>
          <t>X</t>
        </is>
      </c>
      <c r="C101" s="24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24" t="n"/>
      <c r="M101" s="24" t="n"/>
      <c r="N101" s="24" t="n"/>
      <c r="O101" s="47">
        <f>CONCATENATE("0x",DEC2HEX(HEX2DEC(MID($N$100,3,5))*4+2,6))</f>
        <v/>
      </c>
      <c r="P101" s="47" t="inlineStr">
        <is>
          <t>-</t>
        </is>
      </c>
      <c r="Q101" s="47" t="inlineStr">
        <is>
          <t>X</t>
        </is>
      </c>
      <c r="R101" s="24" t="n"/>
    </row>
    <row r="102" ht="20.1" customHeight="1">
      <c r="A102" s="24" t="n"/>
      <c r="B102" s="47" t="inlineStr">
        <is>
          <t>X</t>
        </is>
      </c>
      <c r="C102" s="24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24" t="n"/>
      <c r="M102" s="24" t="n"/>
      <c r="N102" s="24" t="n"/>
      <c r="O102" s="47">
        <f>CONCATENATE("0x",DEC2HEX(HEX2DEC(MID($N$100,3,5))*4+1,6))</f>
        <v/>
      </c>
      <c r="P102" s="47" t="inlineStr">
        <is>
          <t>-</t>
        </is>
      </c>
      <c r="Q102" s="47" t="inlineStr">
        <is>
          <t>X</t>
        </is>
      </c>
      <c r="R102" s="24" t="n"/>
    </row>
    <row r="103" ht="20.1" customHeight="1">
      <c r="A103" s="25" t="n"/>
      <c r="B103" s="44" t="inlineStr">
        <is>
          <t>RW</t>
        </is>
      </c>
      <c r="C103" s="25" t="n"/>
      <c r="D103" s="19" t="n"/>
      <c r="E103" s="44" t="inlineStr">
        <is>
          <t>ST_BIT_ERR</t>
        </is>
      </c>
      <c r="F103" s="44" t="inlineStr">
        <is>
          <t>ST_INSYNC_LOST</t>
        </is>
      </c>
      <c r="G103" s="44" t="inlineStr">
        <is>
          <t>ST_MATCH</t>
        </is>
      </c>
      <c r="H103" s="44" t="inlineStr">
        <is>
          <t>ST_OVERFLOW</t>
        </is>
      </c>
      <c r="I103" s="44" t="inlineStr">
        <is>
          <t>ST_FULL</t>
        </is>
      </c>
      <c r="J103" s="44" t="inlineStr">
        <is>
          <t>ST_HALF</t>
        </is>
      </c>
      <c r="K103" s="44" t="inlineStr">
        <is>
          <t>ST_EMPTY</t>
        </is>
      </c>
      <c r="L103" s="25" t="n"/>
      <c r="M103" s="25" t="n"/>
      <c r="N103" s="25" t="n"/>
      <c r="O103" s="44">
        <f>CONCATENATE("0x",DEC2HEX(HEX2DEC(MID($N$100,3,5))*4+0,6))</f>
        <v/>
      </c>
      <c r="P103" s="44" t="inlineStr">
        <is>
          <t>0x00</t>
        </is>
      </c>
      <c r="Q103" s="44" t="inlineStr">
        <is>
          <t>O</t>
        </is>
      </c>
      <c r="R103" s="25" t="n"/>
    </row>
    <row r="104" ht="20.1" customHeight="1">
      <c r="A104" s="28" t="inlineStr">
        <is>
          <t>0x00006</t>
        </is>
      </c>
      <c r="B104" s="49" t="inlineStr">
        <is>
          <t>X</t>
        </is>
      </c>
      <c r="C104" s="28" t="inlineStr">
        <is>
          <t>RX_FIFO_CLEAR</t>
        </is>
      </c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23" t="inlineStr">
        <is>
          <t>CLR: flush the RX FIFO only</t>
        </is>
      </c>
      <c r="M104" s="23" t="inlineStr">
        <is>
          <t>Write 0b1: flush
Write 1 while CLR_BUSY = 1: SLVERR
Read returns SLVERR (write-only)</t>
        </is>
      </c>
      <c r="N104" s="28">
        <f>CONCATENATE("0x",DEC2HEX(HEX2DEC(MID(Module_Address_Usage!$C$4,3,5))+HEX2DEC(MID($O$79,3,5))+HEX2DEC(MID($A104,3,5)),5))</f>
        <v/>
      </c>
      <c r="O104" s="49">
        <f>CONCATENATE("0x",DEC2HEX(HEX2DEC(MID($N$104,3,5))*4+3,6))</f>
        <v/>
      </c>
      <c r="P104" s="49" t="inlineStr">
        <is>
          <t>-</t>
        </is>
      </c>
      <c r="Q104" s="49" t="inlineStr">
        <is>
          <t>X</t>
        </is>
      </c>
      <c r="R104" s="28">
        <f>CONCATENATE("0x",LEFT(DEC2HEX(HEX2DEC(MID(Module_Address_Usage!$C$2,3,8))+HEX2DEC(MID($N$104,3,5))*4+0,8),4),"_",RIGHT(DEC2HEX(HEX2DEC(MID(Module_Address_Usage!$C$2,3,8))+HEX2DEC(MID($N$104,3,5))*4+0,8),4))</f>
        <v/>
      </c>
    </row>
    <row r="105" ht="20.1" customHeight="1">
      <c r="A105" s="24" t="n"/>
      <c r="B105" s="47" t="inlineStr">
        <is>
          <t>X</t>
        </is>
      </c>
      <c r="C105" s="24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24" t="n"/>
      <c r="M105" s="24" t="n"/>
      <c r="N105" s="24" t="n"/>
      <c r="O105" s="47">
        <f>CONCATENATE("0x",DEC2HEX(HEX2DEC(MID($N$104,3,5))*4+2,6))</f>
        <v/>
      </c>
      <c r="P105" s="47" t="inlineStr">
        <is>
          <t>-</t>
        </is>
      </c>
      <c r="Q105" s="47" t="inlineStr">
        <is>
          <t>X</t>
        </is>
      </c>
      <c r="R105" s="24" t="n"/>
    </row>
    <row r="106" ht="20.1" customHeight="1">
      <c r="A106" s="24" t="n"/>
      <c r="B106" s="47" t="inlineStr">
        <is>
          <t>X</t>
        </is>
      </c>
      <c r="C106" s="24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24" t="n"/>
      <c r="M106" s="24" t="n"/>
      <c r="N106" s="24" t="n"/>
      <c r="O106" s="47">
        <f>CONCATENATE("0x",DEC2HEX(HEX2DEC(MID($N$104,3,5))*4+1,6))</f>
        <v/>
      </c>
      <c r="P106" s="47" t="inlineStr">
        <is>
          <t>-</t>
        </is>
      </c>
      <c r="Q106" s="47" t="inlineStr">
        <is>
          <t>X</t>
        </is>
      </c>
      <c r="R106" s="24" t="n"/>
    </row>
    <row r="107" ht="20.1" customHeight="1">
      <c r="A107" s="25" t="n"/>
      <c r="B107" s="44" t="inlineStr">
        <is>
          <t>WO</t>
        </is>
      </c>
      <c r="C107" s="25" t="n"/>
      <c r="D107" s="19" t="n"/>
      <c r="E107" s="19" t="n"/>
      <c r="F107" s="19" t="n"/>
      <c r="G107" s="19" t="n"/>
      <c r="H107" s="19" t="n"/>
      <c r="I107" s="19" t="n"/>
      <c r="J107" s="19" t="n"/>
      <c r="K107" s="44" t="inlineStr">
        <is>
          <t>CLR</t>
        </is>
      </c>
      <c r="L107" s="25" t="n"/>
      <c r="M107" s="25" t="n"/>
      <c r="N107" s="25" t="n"/>
      <c r="O107" s="44">
        <f>CONCATENATE("0x",DEC2HEX(HEX2DEC(MID($N$104,3,5))*4+0,6))</f>
        <v/>
      </c>
      <c r="P107" s="44" t="inlineStr">
        <is>
          <t>0x00</t>
        </is>
      </c>
      <c r="Q107" s="44" t="inlineStr">
        <is>
          <t>O</t>
        </is>
      </c>
      <c r="R107" s="25" t="n"/>
    </row>
    <row r="108" ht="20.1" customHeight="1">
      <c r="A108" s="28" t="inlineStr">
        <is>
          <t>0x00007</t>
        </is>
      </c>
      <c r="B108" s="49" t="inlineStr">
        <is>
          <t>X</t>
        </is>
      </c>
      <c r="C108" s="28" t="inlineStr">
        <is>
          <t>WRDCNT</t>
        </is>
      </c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23" t="inlineStr">
        <is>
          <t>SUBFRAME[1:0]: target subframe
WORD_CNT[12:0]: target word count (0 ~ 8191)
MATCH asserted for one word-time on match</t>
        </is>
      </c>
      <c r="M108" s="23" t="inlineStr">
        <is>
          <t>SUBFRAME 0b00 ~ 0b11: SYNC1 ~ SYNC4
WORD_CNT &gt;= W never matches
Compared with the running word counter while INSYNC = 1
Bits [31:15] reserved: write 0, read 0</t>
        </is>
      </c>
      <c r="N108" s="28">
        <f>CONCATENATE("0x",DEC2HEX(HEX2DEC(MID(Module_Address_Usage!$C$4,3,5))+HEX2DEC(MID($O$79,3,5))+HEX2DEC(MID($A108,3,5)),5))</f>
        <v/>
      </c>
      <c r="O108" s="49">
        <f>CONCATENATE("0x",DEC2HEX(HEX2DEC(MID($N$108,3,5))*4+3,6))</f>
        <v/>
      </c>
      <c r="P108" s="49" t="inlineStr">
        <is>
          <t>-</t>
        </is>
      </c>
      <c r="Q108" s="49" t="inlineStr">
        <is>
          <t>X</t>
        </is>
      </c>
      <c r="R108" s="28">
        <f>CONCATENATE("0x",LEFT(DEC2HEX(HEX2DEC(MID(Module_Address_Usage!$C$2,3,8))+HEX2DEC(MID($N$108,3,5))*4+0,8),4),"_",RIGHT(DEC2HEX(HEX2DEC(MID(Module_Address_Usage!$C$2,3,8))+HEX2DEC(MID($N$108,3,5))*4+0,8),4))</f>
        <v/>
      </c>
    </row>
    <row r="109" ht="20.1" customHeight="1">
      <c r="A109" s="24" t="n"/>
      <c r="B109" s="47" t="inlineStr">
        <is>
          <t>X</t>
        </is>
      </c>
      <c r="C109" s="24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24" t="n"/>
      <c r="M109" s="24" t="n"/>
      <c r="N109" s="24" t="n"/>
      <c r="O109" s="47">
        <f>CONCATENATE("0x",DEC2HEX(HEX2DEC(MID($N$108,3,5))*4+2,6))</f>
        <v/>
      </c>
      <c r="P109" s="47" t="inlineStr">
        <is>
          <t>-</t>
        </is>
      </c>
      <c r="Q109" s="47" t="inlineStr">
        <is>
          <t>X</t>
        </is>
      </c>
      <c r="R109" s="24" t="n"/>
    </row>
    <row r="110" ht="20.1" customHeight="1">
      <c r="A110" s="24" t="n"/>
      <c r="B110" s="47" t="inlineStr">
        <is>
          <t>RW</t>
        </is>
      </c>
      <c r="C110" s="24" t="n"/>
      <c r="D110" s="17" t="n"/>
      <c r="E110" s="47" t="inlineStr">
        <is>
          <t>WORD_CNT[12:6]</t>
        </is>
      </c>
      <c r="F110" s="48" t="n"/>
      <c r="G110" s="48" t="n"/>
      <c r="H110" s="48" t="n"/>
      <c r="I110" s="48" t="n"/>
      <c r="J110" s="48" t="n"/>
      <c r="K110" s="36" t="n"/>
      <c r="L110" s="24" t="n"/>
      <c r="M110" s="24" t="n"/>
      <c r="N110" s="24" t="n"/>
      <c r="O110" s="47">
        <f>CONCATENATE("0x",DEC2HEX(HEX2DEC(MID($N$108,3,5))*4+1,6))</f>
        <v/>
      </c>
      <c r="P110" s="47" t="inlineStr">
        <is>
          <t>0x00</t>
        </is>
      </c>
      <c r="Q110" s="47" t="inlineStr">
        <is>
          <t>O</t>
        </is>
      </c>
      <c r="R110" s="24" t="n"/>
    </row>
    <row r="111" ht="20.1" customHeight="1">
      <c r="A111" s="25" t="n"/>
      <c r="B111" s="44" t="inlineStr">
        <is>
          <t>RW</t>
        </is>
      </c>
      <c r="C111" s="25" t="n"/>
      <c r="D111" s="44" t="inlineStr">
        <is>
          <t>WORD_CNT[5:0]</t>
        </is>
      </c>
      <c r="E111" s="45" t="n"/>
      <c r="F111" s="45" t="n"/>
      <c r="G111" s="45" t="n"/>
      <c r="H111" s="45" t="n"/>
      <c r="I111" s="46" t="n"/>
      <c r="J111" s="44" t="inlineStr">
        <is>
          <t>SUBFRAME[1:0]</t>
        </is>
      </c>
      <c r="K111" s="46" t="n"/>
      <c r="L111" s="25" t="n"/>
      <c r="M111" s="25" t="n"/>
      <c r="N111" s="25" t="n"/>
      <c r="O111" s="44">
        <f>CONCATENATE("0x",DEC2HEX(HEX2DEC(MID($N$108,3,5))*4+0,6))</f>
        <v/>
      </c>
      <c r="P111" s="44" t="inlineStr">
        <is>
          <t>0x00</t>
        </is>
      </c>
      <c r="Q111" s="44" t="inlineStr">
        <is>
          <t>O</t>
        </is>
      </c>
      <c r="R111" s="25" t="n"/>
    </row>
    <row r="112" ht="20.1" customHeight="1">
      <c r="A112" s="28" t="inlineStr">
        <is>
          <t>0x00008</t>
        </is>
      </c>
      <c r="B112" s="49" t="inlineStr">
        <is>
          <t>X</t>
        </is>
      </c>
      <c r="C112" s="28" t="inlineStr">
        <is>
          <t>RX_SYNC1</t>
        </is>
      </c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23" t="inlineStr">
        <is>
          <t>SYNC1[11:0]: RX sync word 1 code</t>
        </is>
      </c>
      <c r="M112" s="23" t="inlineStr">
        <is>
          <t>Default 0x247 (octal 1107)</t>
        </is>
      </c>
      <c r="N112" s="28">
        <f>CONCATENATE("0x",DEC2HEX(HEX2DEC(MID(Module_Address_Usage!$C$4,3,5))+HEX2DEC(MID($O$79,3,5))+HEX2DEC(MID($A112,3,5)),5))</f>
        <v/>
      </c>
      <c r="O112" s="49">
        <f>CONCATENATE("0x",DEC2HEX(HEX2DEC(MID($N$112,3,5))*4+3,6))</f>
        <v/>
      </c>
      <c r="P112" s="49" t="inlineStr">
        <is>
          <t>-</t>
        </is>
      </c>
      <c r="Q112" s="49" t="inlineStr">
        <is>
          <t>X</t>
        </is>
      </c>
      <c r="R112" s="28">
        <f>CONCATENATE("0x",LEFT(DEC2HEX(HEX2DEC(MID(Module_Address_Usage!$C$2,3,8))+HEX2DEC(MID($N$112,3,5))*4+0,8),4),"_",RIGHT(DEC2HEX(HEX2DEC(MID(Module_Address_Usage!$C$2,3,8))+HEX2DEC(MID($N$112,3,5))*4+0,8),4))</f>
        <v/>
      </c>
    </row>
    <row r="113" ht="20.1" customHeight="1">
      <c r="A113" s="24" t="n"/>
      <c r="B113" s="47" t="inlineStr">
        <is>
          <t>X</t>
        </is>
      </c>
      <c r="C113" s="24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24" t="n"/>
      <c r="M113" s="24" t="n"/>
      <c r="N113" s="24" t="n"/>
      <c r="O113" s="47">
        <f>CONCATENATE("0x",DEC2HEX(HEX2DEC(MID($N$112,3,5))*4+2,6))</f>
        <v/>
      </c>
      <c r="P113" s="47" t="inlineStr">
        <is>
          <t>-</t>
        </is>
      </c>
      <c r="Q113" s="47" t="inlineStr">
        <is>
          <t>X</t>
        </is>
      </c>
      <c r="R113" s="24" t="n"/>
    </row>
    <row r="114" ht="20.1" customHeight="1">
      <c r="A114" s="24" t="n"/>
      <c r="B114" s="47" t="inlineStr">
        <is>
          <t>RW</t>
        </is>
      </c>
      <c r="C114" s="24" t="n"/>
      <c r="D114" s="17" t="n"/>
      <c r="E114" s="17" t="n"/>
      <c r="F114" s="17" t="n"/>
      <c r="G114" s="17" t="n"/>
      <c r="H114" s="47" t="inlineStr">
        <is>
          <t>SYNC1[11:8]</t>
        </is>
      </c>
      <c r="I114" s="48" t="n"/>
      <c r="J114" s="48" t="n"/>
      <c r="K114" s="36" t="n"/>
      <c r="L114" s="24" t="n"/>
      <c r="M114" s="24" t="n"/>
      <c r="N114" s="24" t="n"/>
      <c r="O114" s="47">
        <f>CONCATENATE("0x",DEC2HEX(HEX2DEC(MID($N$112,3,5))*4+1,6))</f>
        <v/>
      </c>
      <c r="P114" s="47" t="inlineStr">
        <is>
          <t>0x02</t>
        </is>
      </c>
      <c r="Q114" s="47" t="inlineStr">
        <is>
          <t>O</t>
        </is>
      </c>
      <c r="R114" s="24" t="n"/>
    </row>
    <row r="115" ht="20.1" customHeight="1">
      <c r="A115" s="25" t="n"/>
      <c r="B115" s="44" t="inlineStr">
        <is>
          <t>RW</t>
        </is>
      </c>
      <c r="C115" s="25" t="n"/>
      <c r="D115" s="44" t="inlineStr">
        <is>
          <t>SYNC1[7:0]</t>
        </is>
      </c>
      <c r="E115" s="45" t="n"/>
      <c r="F115" s="45" t="n"/>
      <c r="G115" s="45" t="n"/>
      <c r="H115" s="45" t="n"/>
      <c r="I115" s="45" t="n"/>
      <c r="J115" s="45" t="n"/>
      <c r="K115" s="46" t="n"/>
      <c r="L115" s="25" t="n"/>
      <c r="M115" s="25" t="n"/>
      <c r="N115" s="25" t="n"/>
      <c r="O115" s="44">
        <f>CONCATENATE("0x",DEC2HEX(HEX2DEC(MID($N$112,3,5))*4+0,6))</f>
        <v/>
      </c>
      <c r="P115" s="44" t="inlineStr">
        <is>
          <t>0x47</t>
        </is>
      </c>
      <c r="Q115" s="44" t="inlineStr">
        <is>
          <t>O</t>
        </is>
      </c>
      <c r="R115" s="25" t="n"/>
    </row>
    <row r="116" ht="20.1" customHeight="1">
      <c r="A116" s="28" t="inlineStr">
        <is>
          <t>0x00009</t>
        </is>
      </c>
      <c r="B116" s="49" t="inlineStr">
        <is>
          <t>X</t>
        </is>
      </c>
      <c r="C116" s="28" t="inlineStr">
        <is>
          <t>RX_SYNC2</t>
        </is>
      </c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23" t="inlineStr">
        <is>
          <t>SYNC2[11:0]: RX sync word 2 code</t>
        </is>
      </c>
      <c r="M116" s="23" t="inlineStr">
        <is>
          <t>Default 0x5B8 (octal 2670)</t>
        </is>
      </c>
      <c r="N116" s="28">
        <f>CONCATENATE("0x",DEC2HEX(HEX2DEC(MID(Module_Address_Usage!$C$4,3,5))+HEX2DEC(MID($O$79,3,5))+HEX2DEC(MID($A116,3,5)),5))</f>
        <v/>
      </c>
      <c r="O116" s="49">
        <f>CONCATENATE("0x",DEC2HEX(HEX2DEC(MID($N$116,3,5))*4+3,6))</f>
        <v/>
      </c>
      <c r="P116" s="49" t="inlineStr">
        <is>
          <t>-</t>
        </is>
      </c>
      <c r="Q116" s="49" t="inlineStr">
        <is>
          <t>X</t>
        </is>
      </c>
      <c r="R116" s="28">
        <f>CONCATENATE("0x",LEFT(DEC2HEX(HEX2DEC(MID(Module_Address_Usage!$C$2,3,8))+HEX2DEC(MID($N$116,3,5))*4+0,8),4),"_",RIGHT(DEC2HEX(HEX2DEC(MID(Module_Address_Usage!$C$2,3,8))+HEX2DEC(MID($N$116,3,5))*4+0,8),4))</f>
        <v/>
      </c>
    </row>
    <row r="117" ht="20.1" customHeight="1">
      <c r="A117" s="24" t="n"/>
      <c r="B117" s="47" t="inlineStr">
        <is>
          <t>X</t>
        </is>
      </c>
      <c r="C117" s="24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24" t="n"/>
      <c r="M117" s="24" t="n"/>
      <c r="N117" s="24" t="n"/>
      <c r="O117" s="47">
        <f>CONCATENATE("0x",DEC2HEX(HEX2DEC(MID($N$116,3,5))*4+2,6))</f>
        <v/>
      </c>
      <c r="P117" s="47" t="inlineStr">
        <is>
          <t>-</t>
        </is>
      </c>
      <c r="Q117" s="47" t="inlineStr">
        <is>
          <t>X</t>
        </is>
      </c>
      <c r="R117" s="24" t="n"/>
    </row>
    <row r="118" ht="20.1" customHeight="1">
      <c r="A118" s="24" t="n"/>
      <c r="B118" s="47" t="inlineStr">
        <is>
          <t>RW</t>
        </is>
      </c>
      <c r="C118" s="24" t="n"/>
      <c r="D118" s="17" t="n"/>
      <c r="E118" s="17" t="n"/>
      <c r="F118" s="17" t="n"/>
      <c r="G118" s="17" t="n"/>
      <c r="H118" s="47" t="inlineStr">
        <is>
          <t>SYNC2[11:8]</t>
        </is>
      </c>
      <c r="I118" s="48" t="n"/>
      <c r="J118" s="48" t="n"/>
      <c r="K118" s="36" t="n"/>
      <c r="L118" s="24" t="n"/>
      <c r="M118" s="24" t="n"/>
      <c r="N118" s="24" t="n"/>
      <c r="O118" s="47">
        <f>CONCATENATE("0x",DEC2HEX(HEX2DEC(MID($N$116,3,5))*4+1,6))</f>
        <v/>
      </c>
      <c r="P118" s="47" t="inlineStr">
        <is>
          <t>0x05</t>
        </is>
      </c>
      <c r="Q118" s="47" t="inlineStr">
        <is>
          <t>O</t>
        </is>
      </c>
      <c r="R118" s="24" t="n"/>
    </row>
    <row r="119" ht="20.1" customHeight="1">
      <c r="A119" s="25" t="n"/>
      <c r="B119" s="44" t="inlineStr">
        <is>
          <t>RW</t>
        </is>
      </c>
      <c r="C119" s="25" t="n"/>
      <c r="D119" s="44" t="inlineStr">
        <is>
          <t>SYNC2[7:0]</t>
        </is>
      </c>
      <c r="E119" s="45" t="n"/>
      <c r="F119" s="45" t="n"/>
      <c r="G119" s="45" t="n"/>
      <c r="H119" s="45" t="n"/>
      <c r="I119" s="45" t="n"/>
      <c r="J119" s="45" t="n"/>
      <c r="K119" s="46" t="n"/>
      <c r="L119" s="25" t="n"/>
      <c r="M119" s="25" t="n"/>
      <c r="N119" s="25" t="n"/>
      <c r="O119" s="44">
        <f>CONCATENATE("0x",DEC2HEX(HEX2DEC(MID($N$116,3,5))*4+0,6))</f>
        <v/>
      </c>
      <c r="P119" s="44" t="inlineStr">
        <is>
          <t>0xB8</t>
        </is>
      </c>
      <c r="Q119" s="44" t="inlineStr">
        <is>
          <t>O</t>
        </is>
      </c>
      <c r="R119" s="25" t="n"/>
    </row>
    <row r="120" ht="20.1" customHeight="1">
      <c r="A120" s="28" t="inlineStr">
        <is>
          <t>0x0000A</t>
        </is>
      </c>
      <c r="B120" s="49" t="inlineStr">
        <is>
          <t>X</t>
        </is>
      </c>
      <c r="C120" s="28" t="inlineStr">
        <is>
          <t>RX_SYNC3</t>
        </is>
      </c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23" t="inlineStr">
        <is>
          <t>SYNC3[11:0]: RX sync word 3 code</t>
        </is>
      </c>
      <c r="M120" s="23" t="inlineStr">
        <is>
          <t>Default 0xA47 (octal 5107)</t>
        </is>
      </c>
      <c r="N120" s="28">
        <f>CONCATENATE("0x",DEC2HEX(HEX2DEC(MID(Module_Address_Usage!$C$4,3,5))+HEX2DEC(MID($O$79,3,5))+HEX2DEC(MID($A120,3,5)),5))</f>
        <v/>
      </c>
      <c r="O120" s="49">
        <f>CONCATENATE("0x",DEC2HEX(HEX2DEC(MID($N$120,3,5))*4+3,6))</f>
        <v/>
      </c>
      <c r="P120" s="49" t="inlineStr">
        <is>
          <t>-</t>
        </is>
      </c>
      <c r="Q120" s="49" t="inlineStr">
        <is>
          <t>X</t>
        </is>
      </c>
      <c r="R120" s="28">
        <f>CONCATENATE("0x",LEFT(DEC2HEX(HEX2DEC(MID(Module_Address_Usage!$C$2,3,8))+HEX2DEC(MID($N$120,3,5))*4+0,8),4),"_",RIGHT(DEC2HEX(HEX2DEC(MID(Module_Address_Usage!$C$2,3,8))+HEX2DEC(MID($N$120,3,5))*4+0,8),4))</f>
        <v/>
      </c>
    </row>
    <row r="121" ht="20.1" customHeight="1">
      <c r="A121" s="24" t="n"/>
      <c r="B121" s="47" t="inlineStr">
        <is>
          <t>X</t>
        </is>
      </c>
      <c r="C121" s="24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24" t="n"/>
      <c r="M121" s="24" t="n"/>
      <c r="N121" s="24" t="n"/>
      <c r="O121" s="47">
        <f>CONCATENATE("0x",DEC2HEX(HEX2DEC(MID($N$120,3,5))*4+2,6))</f>
        <v/>
      </c>
      <c r="P121" s="47" t="inlineStr">
        <is>
          <t>-</t>
        </is>
      </c>
      <c r="Q121" s="47" t="inlineStr">
        <is>
          <t>X</t>
        </is>
      </c>
      <c r="R121" s="24" t="n"/>
    </row>
    <row r="122" ht="20.1" customHeight="1">
      <c r="A122" s="24" t="n"/>
      <c r="B122" s="47" t="inlineStr">
        <is>
          <t>RW</t>
        </is>
      </c>
      <c r="C122" s="24" t="n"/>
      <c r="D122" s="17" t="n"/>
      <c r="E122" s="17" t="n"/>
      <c r="F122" s="17" t="n"/>
      <c r="G122" s="17" t="n"/>
      <c r="H122" s="47" t="inlineStr">
        <is>
          <t>SYNC3[11:8]</t>
        </is>
      </c>
      <c r="I122" s="48" t="n"/>
      <c r="J122" s="48" t="n"/>
      <c r="K122" s="36" t="n"/>
      <c r="L122" s="24" t="n"/>
      <c r="M122" s="24" t="n"/>
      <c r="N122" s="24" t="n"/>
      <c r="O122" s="47">
        <f>CONCATENATE("0x",DEC2HEX(HEX2DEC(MID($N$120,3,5))*4+1,6))</f>
        <v/>
      </c>
      <c r="P122" s="47" t="inlineStr">
        <is>
          <t>0x0A</t>
        </is>
      </c>
      <c r="Q122" s="47" t="inlineStr">
        <is>
          <t>O</t>
        </is>
      </c>
      <c r="R122" s="24" t="n"/>
    </row>
    <row r="123" ht="20.1" customHeight="1">
      <c r="A123" s="25" t="n"/>
      <c r="B123" s="44" t="inlineStr">
        <is>
          <t>RW</t>
        </is>
      </c>
      <c r="C123" s="25" t="n"/>
      <c r="D123" s="44" t="inlineStr">
        <is>
          <t>SYNC3[7:0]</t>
        </is>
      </c>
      <c r="E123" s="45" t="n"/>
      <c r="F123" s="45" t="n"/>
      <c r="G123" s="45" t="n"/>
      <c r="H123" s="45" t="n"/>
      <c r="I123" s="45" t="n"/>
      <c r="J123" s="45" t="n"/>
      <c r="K123" s="46" t="n"/>
      <c r="L123" s="25" t="n"/>
      <c r="M123" s="25" t="n"/>
      <c r="N123" s="25" t="n"/>
      <c r="O123" s="44">
        <f>CONCATENATE("0x",DEC2HEX(HEX2DEC(MID($N$120,3,5))*4+0,6))</f>
        <v/>
      </c>
      <c r="P123" s="44" t="inlineStr">
        <is>
          <t>0x47</t>
        </is>
      </c>
      <c r="Q123" s="44" t="inlineStr">
        <is>
          <t>O</t>
        </is>
      </c>
      <c r="R123" s="25" t="n"/>
    </row>
    <row r="124" ht="20.1" customHeight="1">
      <c r="A124" s="28" t="inlineStr">
        <is>
          <t>0x0000B</t>
        </is>
      </c>
      <c r="B124" s="49" t="inlineStr">
        <is>
          <t>X</t>
        </is>
      </c>
      <c r="C124" s="28" t="inlineStr">
        <is>
          <t>RX_SYNC4</t>
        </is>
      </c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23" t="inlineStr">
        <is>
          <t>SYNC4[11:0]: RX sync word 4 code</t>
        </is>
      </c>
      <c r="M124" s="23" t="inlineStr">
        <is>
          <t>Default 0xDB8 (octal 6670)</t>
        </is>
      </c>
      <c r="N124" s="28">
        <f>CONCATENATE("0x",DEC2HEX(HEX2DEC(MID(Module_Address_Usage!$C$4,3,5))+HEX2DEC(MID($O$79,3,5))+HEX2DEC(MID($A124,3,5)),5))</f>
        <v/>
      </c>
      <c r="O124" s="49">
        <f>CONCATENATE("0x",DEC2HEX(HEX2DEC(MID($N$124,3,5))*4+3,6))</f>
        <v/>
      </c>
      <c r="P124" s="49" t="inlineStr">
        <is>
          <t>-</t>
        </is>
      </c>
      <c r="Q124" s="49" t="inlineStr">
        <is>
          <t>X</t>
        </is>
      </c>
      <c r="R124" s="28">
        <f>CONCATENATE("0x",LEFT(DEC2HEX(HEX2DEC(MID(Module_Address_Usage!$C$2,3,8))+HEX2DEC(MID($N$124,3,5))*4+0,8),4),"_",RIGHT(DEC2HEX(HEX2DEC(MID(Module_Address_Usage!$C$2,3,8))+HEX2DEC(MID($N$124,3,5))*4+0,8),4))</f>
        <v/>
      </c>
    </row>
    <row r="125" ht="20.1" customHeight="1">
      <c r="A125" s="24" t="n"/>
      <c r="B125" s="47" t="inlineStr">
        <is>
          <t>X</t>
        </is>
      </c>
      <c r="C125" s="24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24" t="n"/>
      <c r="M125" s="24" t="n"/>
      <c r="N125" s="24" t="n"/>
      <c r="O125" s="47">
        <f>CONCATENATE("0x",DEC2HEX(HEX2DEC(MID($N$124,3,5))*4+2,6))</f>
        <v/>
      </c>
      <c r="P125" s="47" t="inlineStr">
        <is>
          <t>-</t>
        </is>
      </c>
      <c r="Q125" s="47" t="inlineStr">
        <is>
          <t>X</t>
        </is>
      </c>
      <c r="R125" s="24" t="n"/>
    </row>
    <row r="126" ht="20.1" customHeight="1">
      <c r="A126" s="24" t="n"/>
      <c r="B126" s="47" t="inlineStr">
        <is>
          <t>RW</t>
        </is>
      </c>
      <c r="C126" s="24" t="n"/>
      <c r="D126" s="17" t="n"/>
      <c r="E126" s="17" t="n"/>
      <c r="F126" s="17" t="n"/>
      <c r="G126" s="17" t="n"/>
      <c r="H126" s="47" t="inlineStr">
        <is>
          <t>SYNC4[11:8]</t>
        </is>
      </c>
      <c r="I126" s="48" t="n"/>
      <c r="J126" s="48" t="n"/>
      <c r="K126" s="36" t="n"/>
      <c r="L126" s="24" t="n"/>
      <c r="M126" s="24" t="n"/>
      <c r="N126" s="24" t="n"/>
      <c r="O126" s="47">
        <f>CONCATENATE("0x",DEC2HEX(HEX2DEC(MID($N$124,3,5))*4+1,6))</f>
        <v/>
      </c>
      <c r="P126" s="47" t="inlineStr">
        <is>
          <t>0x0D</t>
        </is>
      </c>
      <c r="Q126" s="47" t="inlineStr">
        <is>
          <t>O</t>
        </is>
      </c>
      <c r="R126" s="24" t="n"/>
    </row>
    <row r="127" ht="20.1" customHeight="1">
      <c r="A127" s="25" t="n"/>
      <c r="B127" s="44" t="inlineStr">
        <is>
          <t>RW</t>
        </is>
      </c>
      <c r="C127" s="25" t="n"/>
      <c r="D127" s="44" t="inlineStr">
        <is>
          <t>SYNC4[7:0]</t>
        </is>
      </c>
      <c r="E127" s="45" t="n"/>
      <c r="F127" s="45" t="n"/>
      <c r="G127" s="45" t="n"/>
      <c r="H127" s="45" t="n"/>
      <c r="I127" s="45" t="n"/>
      <c r="J127" s="45" t="n"/>
      <c r="K127" s="46" t="n"/>
      <c r="L127" s="25" t="n"/>
      <c r="M127" s="25" t="n"/>
      <c r="N127" s="25" t="n"/>
      <c r="O127" s="44">
        <f>CONCATENATE("0x",DEC2HEX(HEX2DEC(MID($N$124,3,5))*4+0,6))</f>
        <v/>
      </c>
      <c r="P127" s="44" t="inlineStr">
        <is>
          <t>0xB8</t>
        </is>
      </c>
      <c r="Q127" s="44" t="inlineStr">
        <is>
          <t>O</t>
        </is>
      </c>
      <c r="R127" s="25" t="n"/>
    </row>
    <row r="128" ht="27" customHeight="1">
      <c r="A128" s="28" t="inlineStr">
        <is>
          <t>0x0000C
~ 0x0000F</t>
        </is>
      </c>
      <c r="B128" s="28" t="inlineStr">
        <is>
          <t>X</t>
        </is>
      </c>
      <c r="C128" s="28" t="inlineStr">
        <is>
          <t>Reserved</t>
        </is>
      </c>
      <c r="D128" s="41" t="n"/>
      <c r="E128" s="42" t="n"/>
      <c r="F128" s="42" t="n"/>
      <c r="G128" s="42" t="n"/>
      <c r="H128" s="42" t="n"/>
      <c r="I128" s="42" t="n"/>
      <c r="J128" s="42" t="n"/>
      <c r="K128" s="43" t="n"/>
      <c r="L128" s="23" t="inlineStr">
        <is>
          <t>Reserved</t>
        </is>
      </c>
      <c r="M128" s="23" t="inlineStr">
        <is>
          <t>Write ignored, read returns 0x0000_0000</t>
        </is>
      </c>
      <c r="N128" s="28">
        <f>CONCATENATE("0x",DEC2HEX(HEX2DEC(MID(Module_Address_Usage!$C$4,3,5))+HEX2DEC(MID($O$79,3,5))+HEX2DEC(MID($A128,3,5)),5))&amp;CHAR(10)&amp;"~ "&amp;CONCATENATE("0x",DEC2HEX(HEX2DEC(MID(Module_Address_Usage!$C$4,3,5))+HEX2DEC(MID($O$79,3,5))+HEX2DEC(MID($A128,13,5)),5))</f>
        <v/>
      </c>
      <c r="O128" s="28">
        <f>CONCATENATE("0x",DEC2HEX(HEX2DEC(MID(CONCATENATE("0x",DEC2HEX(HEX2DEC(MID(Module_Address_Usage!$C$4,3,5))+HEX2DEC(MID($O$79,3,5))+HEX2DEC(MID($A128,3,5)),5)),3,5))*4+0,6))&amp;CHAR(10)&amp;"~ "&amp;CONCATENATE("0x",DEC2HEX(HEX2DEC(MID(CONCATENATE("0x",DEC2HEX(HEX2DEC(MID(Module_Address_Usage!$C$4,3,5))+HEX2DEC(MID($O$79,3,5))+HEX2DEC(MID($A128,13,5)),5)),3,5))*4+3,6))</f>
        <v/>
      </c>
      <c r="P128" s="28" t="inlineStr">
        <is>
          <t>-</t>
        </is>
      </c>
      <c r="Q128" s="28" t="inlineStr">
        <is>
          <t>X</t>
        </is>
      </c>
      <c r="R128" s="28">
        <f>CONCATENATE("0x",LEFT(DEC2HEX(HEX2DEC(MID(Module_Address_Usage!$C$2,3,8))+HEX2DEC(MID(CONCATENATE("0x",DEC2HEX(HEX2DEC(MID(Module_Address_Usage!$C$4,3,5))+HEX2DEC(MID($O$79,3,5))+HEX2DEC(MID($A128,3,5)),5)),3,5))*4+0,8),4),"_",RIGHT(DEC2HEX(HEX2DEC(MID(Module_Address_Usage!$C$2,3,8))+HEX2DEC(MID(CONCATENATE("0x",DEC2HEX(HEX2DEC(MID(Module_Address_Usage!$C$4,3,5))+HEX2DEC(MID($O$79,3,5))+HEX2DEC(MID($A128,3,5)),5)),3,5))*4+0,8),4))&amp;CHAR(10)&amp;"~ "&amp;CONCATENATE("0x",LEFT(DEC2HEX(HEX2DEC(MID(Module_Address_Usage!$C$2,3,8))+HEX2DEC(MID(CONCATENATE("0x",DEC2HEX(HEX2DEC(MID(Module_Address_Usage!$C$4,3,5))+HEX2DEC(MID($O$79,3,5))+HEX2DEC(MID($A128,13,5)),5)),3,5))*4+3,8),4),"_",RIGHT(DEC2HEX(HEX2DEC(MID(Module_Address_Usage!$C$2,3,8))+HEX2DEC(MID(CONCATENATE("0x",DEC2HEX(HEX2DEC(MID(Module_Address_Usage!$C$4,3,5))+HEX2DEC(MID($O$79,3,5))+HEX2DEC(MID($A128,13,5)),5)),3,5))*4+3,8),4))</f>
        <v/>
      </c>
    </row>
    <row r="129" ht="27" customHeight="1">
      <c r="A129" s="26" t="n"/>
      <c r="B129" s="26" t="n"/>
      <c r="C129" s="26" t="n"/>
      <c r="D129" s="26" t="inlineStr">
        <is>
          <t>RX Bit-Error Registers</t>
        </is>
      </c>
      <c r="E129" s="48" t="n"/>
      <c r="F129" s="48" t="n"/>
      <c r="G129" s="48" t="n"/>
      <c r="H129" s="48" t="n"/>
      <c r="I129" s="48" t="n"/>
      <c r="J129" s="48" t="n"/>
      <c r="K129" s="36" t="n"/>
      <c r="L129" s="37" t="n"/>
      <c r="M129" s="26" t="n"/>
      <c r="N129" s="26" t="inlineStr">
        <is>
          <t>Base 
Address</t>
        </is>
      </c>
      <c r="O129" s="26" t="inlineStr">
        <is>
          <t>0x00028</t>
        </is>
      </c>
      <c r="P129" s="26" t="n"/>
      <c r="Q129" s="26" t="n"/>
      <c r="R129" s="26" t="n"/>
    </row>
    <row r="130" ht="20.1" customHeight="1">
      <c r="A130" s="28" t="inlineStr">
        <is>
          <t>0x00000</t>
        </is>
      </c>
      <c r="B130" s="49" t="inlineStr">
        <is>
          <t>X</t>
        </is>
      </c>
      <c r="C130" s="28" t="inlineStr">
        <is>
          <t>RX_ERR_LIMIT</t>
        </is>
      </c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23" t="inlineStr">
        <is>
          <t>LIMIT[7:0]: consecutive bad bits that end INSYNC</t>
        </is>
      </c>
      <c r="M130" s="23" t="inlineStr">
        <is>
          <t>0x00: off
Default 0x0C (12)
Bits [31:8] reserved, read 0, write ignored</t>
        </is>
      </c>
      <c r="N130" s="28">
        <f>CONCATENATE("0x",DEC2HEX(HEX2DEC(MID(Module_Address_Usage!$C$4,3,5))+HEX2DEC(MID($O$129,3,5))+HEX2DEC(MID($A130,3,5)),5))</f>
        <v/>
      </c>
      <c r="O130" s="49">
        <f>CONCATENATE("0x",DEC2HEX(HEX2DEC(MID($N$130,3,5))*4+3,6))</f>
        <v/>
      </c>
      <c r="P130" s="49" t="inlineStr">
        <is>
          <t>-</t>
        </is>
      </c>
      <c r="Q130" s="49" t="inlineStr">
        <is>
          <t>X</t>
        </is>
      </c>
      <c r="R130" s="28">
        <f>CONCATENATE("0x",LEFT(DEC2HEX(HEX2DEC(MID(Module_Address_Usage!$C$2,3,8))+HEX2DEC(MID($N$130,3,5))*4+0,8),4),"_",RIGHT(DEC2HEX(HEX2DEC(MID(Module_Address_Usage!$C$2,3,8))+HEX2DEC(MID($N$130,3,5))*4+0,8),4))</f>
        <v/>
      </c>
    </row>
    <row r="131" ht="20.1" customHeight="1">
      <c r="A131" s="24" t="n"/>
      <c r="B131" s="47" t="inlineStr">
        <is>
          <t>X</t>
        </is>
      </c>
      <c r="C131" s="24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24" t="n"/>
      <c r="M131" s="24" t="n"/>
      <c r="N131" s="24" t="n"/>
      <c r="O131" s="47">
        <f>CONCATENATE("0x",DEC2HEX(HEX2DEC(MID($N$130,3,5))*4+2,6))</f>
        <v/>
      </c>
      <c r="P131" s="47" t="inlineStr">
        <is>
          <t>-</t>
        </is>
      </c>
      <c r="Q131" s="47" t="inlineStr">
        <is>
          <t>X</t>
        </is>
      </c>
      <c r="R131" s="24" t="n"/>
    </row>
    <row r="132" ht="20.1" customHeight="1">
      <c r="A132" s="24" t="n"/>
      <c r="B132" s="47" t="inlineStr">
        <is>
          <t>X</t>
        </is>
      </c>
      <c r="C132" s="24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24" t="n"/>
      <c r="M132" s="24" t="n"/>
      <c r="N132" s="24" t="n"/>
      <c r="O132" s="47">
        <f>CONCATENATE("0x",DEC2HEX(HEX2DEC(MID($N$130,3,5))*4+1,6))</f>
        <v/>
      </c>
      <c r="P132" s="47" t="inlineStr">
        <is>
          <t>-</t>
        </is>
      </c>
      <c r="Q132" s="47" t="inlineStr">
        <is>
          <t>X</t>
        </is>
      </c>
      <c r="R132" s="24" t="n"/>
    </row>
    <row r="133" ht="20.1" customHeight="1">
      <c r="A133" s="25" t="n"/>
      <c r="B133" s="44" t="inlineStr">
        <is>
          <t>RW</t>
        </is>
      </c>
      <c r="C133" s="25" t="n"/>
      <c r="D133" s="44" t="inlineStr">
        <is>
          <t>LIMIT[7:0]</t>
        </is>
      </c>
      <c r="E133" s="45" t="n"/>
      <c r="F133" s="45" t="n"/>
      <c r="G133" s="45" t="n"/>
      <c r="H133" s="45" t="n"/>
      <c r="I133" s="45" t="n"/>
      <c r="J133" s="45" t="n"/>
      <c r="K133" s="46" t="n"/>
      <c r="L133" s="25" t="n"/>
      <c r="M133" s="25" t="n"/>
      <c r="N133" s="25" t="n"/>
      <c r="O133" s="44">
        <f>CONCATENATE("0x",DEC2HEX(HEX2DEC(MID($N$130,3,5))*4+0,6))</f>
        <v/>
      </c>
      <c r="P133" s="44" t="inlineStr">
        <is>
          <t>0x0C</t>
        </is>
      </c>
      <c r="Q133" s="44" t="inlineStr">
        <is>
          <t>O</t>
        </is>
      </c>
      <c r="R133" s="25" t="n"/>
    </row>
    <row r="134" ht="20.1" customHeight="1">
      <c r="A134" s="28" t="inlineStr">
        <is>
          <t>0x00001</t>
        </is>
      </c>
      <c r="B134" s="49" t="inlineStr">
        <is>
          <t>X</t>
        </is>
      </c>
      <c r="C134" s="28" t="inlineStr">
        <is>
          <t>RX_ERR_CLEAR</t>
        </is>
      </c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23" t="inlineStr">
        <is>
          <t>CLR: clear bit-error counters, positions and cause</t>
        </is>
      </c>
      <c r="M134" s="23" t="inlineStr">
        <is>
          <t>Write 0b1: clear
Read returns SLVERR
Does not change RX_BIT_POS_NOW and LOST_CAUSE</t>
        </is>
      </c>
      <c r="N134" s="28">
        <f>CONCATENATE("0x",DEC2HEX(HEX2DEC(MID(Module_Address_Usage!$C$4,3,5))+HEX2DEC(MID($O$129,3,5))+HEX2DEC(MID($A134,3,5)),5))</f>
        <v/>
      </c>
      <c r="O134" s="49">
        <f>CONCATENATE("0x",DEC2HEX(HEX2DEC(MID($N$134,3,5))*4+3,6))</f>
        <v/>
      </c>
      <c r="P134" s="49" t="inlineStr">
        <is>
          <t>-</t>
        </is>
      </c>
      <c r="Q134" s="49" t="inlineStr">
        <is>
          <t>X</t>
        </is>
      </c>
      <c r="R134" s="28">
        <f>CONCATENATE("0x",LEFT(DEC2HEX(HEX2DEC(MID(Module_Address_Usage!$C$2,3,8))+HEX2DEC(MID($N$134,3,5))*4+0,8),4),"_",RIGHT(DEC2HEX(HEX2DEC(MID(Module_Address_Usage!$C$2,3,8))+HEX2DEC(MID($N$134,3,5))*4+0,8),4))</f>
        <v/>
      </c>
    </row>
    <row r="135" ht="20.1" customHeight="1">
      <c r="A135" s="24" t="n"/>
      <c r="B135" s="47" t="inlineStr">
        <is>
          <t>X</t>
        </is>
      </c>
      <c r="C135" s="24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24" t="n"/>
      <c r="M135" s="24" t="n"/>
      <c r="N135" s="24" t="n"/>
      <c r="O135" s="47">
        <f>CONCATENATE("0x",DEC2HEX(HEX2DEC(MID($N$134,3,5))*4+2,6))</f>
        <v/>
      </c>
      <c r="P135" s="47" t="inlineStr">
        <is>
          <t>-</t>
        </is>
      </c>
      <c r="Q135" s="47" t="inlineStr">
        <is>
          <t>X</t>
        </is>
      </c>
      <c r="R135" s="24" t="n"/>
    </row>
    <row r="136" ht="20.1" customHeight="1">
      <c r="A136" s="24" t="n"/>
      <c r="B136" s="47" t="inlineStr">
        <is>
          <t>X</t>
        </is>
      </c>
      <c r="C136" s="24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24" t="n"/>
      <c r="M136" s="24" t="n"/>
      <c r="N136" s="24" t="n"/>
      <c r="O136" s="47">
        <f>CONCATENATE("0x",DEC2HEX(HEX2DEC(MID($N$134,3,5))*4+1,6))</f>
        <v/>
      </c>
      <c r="P136" s="47" t="inlineStr">
        <is>
          <t>-</t>
        </is>
      </c>
      <c r="Q136" s="47" t="inlineStr">
        <is>
          <t>X</t>
        </is>
      </c>
      <c r="R136" s="24" t="n"/>
    </row>
    <row r="137" ht="20.1" customHeight="1">
      <c r="A137" s="25" t="n"/>
      <c r="B137" s="44" t="inlineStr">
        <is>
          <t>WO</t>
        </is>
      </c>
      <c r="C137" s="25" t="n"/>
      <c r="D137" s="19" t="n"/>
      <c r="E137" s="19" t="n"/>
      <c r="F137" s="19" t="n"/>
      <c r="G137" s="19" t="n"/>
      <c r="H137" s="19" t="n"/>
      <c r="I137" s="19" t="n"/>
      <c r="J137" s="19" t="n"/>
      <c r="K137" s="44" t="inlineStr">
        <is>
          <t>CLR</t>
        </is>
      </c>
      <c r="L137" s="25" t="n"/>
      <c r="M137" s="25" t="n"/>
      <c r="N137" s="25" t="n"/>
      <c r="O137" s="44">
        <f>CONCATENATE("0x",DEC2HEX(HEX2DEC(MID($N$134,3,5))*4+0,6))</f>
        <v/>
      </c>
      <c r="P137" s="44" t="inlineStr">
        <is>
          <t>0x00</t>
        </is>
      </c>
      <c r="Q137" s="44" t="inlineStr">
        <is>
          <t>O</t>
        </is>
      </c>
      <c r="R137" s="25" t="n"/>
    </row>
    <row r="138" ht="20.1" customHeight="1">
      <c r="A138" s="28" t="inlineStr">
        <is>
          <t>0x00002</t>
        </is>
      </c>
      <c r="B138" s="49" t="inlineStr">
        <is>
          <t>RO</t>
        </is>
      </c>
      <c r="C138" s="28" t="inlineStr">
        <is>
          <t>RX_BIT_ERR_CNT</t>
        </is>
      </c>
      <c r="D138" s="49" t="inlineStr">
        <is>
          <t>RX_BIT_ERR_CNT[31:24]</t>
        </is>
      </c>
      <c r="E138" s="50" t="n"/>
      <c r="F138" s="50" t="n"/>
      <c r="G138" s="50" t="n"/>
      <c r="H138" s="50" t="n"/>
      <c r="I138" s="50" t="n"/>
      <c r="J138" s="50" t="n"/>
      <c r="K138" s="51" t="n"/>
      <c r="L138" s="23" t="inlineStr">
        <is>
          <t>RX_BIT_ERR_CNT[31:0]: bad bits counted while INSYNC = 1</t>
        </is>
      </c>
      <c r="M138" s="23" t="inlineStr">
        <is>
          <t>Saturating
Active when ERRCHK_ENB = 1
Write returns SLVERR (no effect)
Also cleared by SOFT_RESET and when GLOBAL_EN AND RX_EN rises</t>
        </is>
      </c>
      <c r="N138" s="28">
        <f>CONCATENATE("0x",DEC2HEX(HEX2DEC(MID(Module_Address_Usage!$C$4,3,5))+HEX2DEC(MID($O$129,3,5))+HEX2DEC(MID($A138,3,5)),5))</f>
        <v/>
      </c>
      <c r="O138" s="49">
        <f>CONCATENATE("0x",DEC2HEX(HEX2DEC(MID($N$138,3,5))*4+3,6))</f>
        <v/>
      </c>
      <c r="P138" s="49" t="inlineStr">
        <is>
          <t>-</t>
        </is>
      </c>
      <c r="Q138" s="49" t="inlineStr">
        <is>
          <t>O</t>
        </is>
      </c>
      <c r="R138" s="28">
        <f>CONCATENATE("0x",LEFT(DEC2HEX(HEX2DEC(MID(Module_Address_Usage!$C$2,3,8))+HEX2DEC(MID($N$138,3,5))*4+0,8),4),"_",RIGHT(DEC2HEX(HEX2DEC(MID(Module_Address_Usage!$C$2,3,8))+HEX2DEC(MID($N$138,3,5))*4+0,8),4))</f>
        <v/>
      </c>
    </row>
    <row r="139" ht="20.1" customHeight="1">
      <c r="A139" s="24" t="n"/>
      <c r="B139" s="47" t="inlineStr">
        <is>
          <t>RO</t>
        </is>
      </c>
      <c r="C139" s="24" t="n"/>
      <c r="D139" s="47" t="inlineStr">
        <is>
          <t>RX_BIT_ERR_CNT[23:16]</t>
        </is>
      </c>
      <c r="E139" s="48" t="n"/>
      <c r="F139" s="48" t="n"/>
      <c r="G139" s="48" t="n"/>
      <c r="H139" s="48" t="n"/>
      <c r="I139" s="48" t="n"/>
      <c r="J139" s="48" t="n"/>
      <c r="K139" s="36" t="n"/>
      <c r="L139" s="24" t="n"/>
      <c r="M139" s="24" t="n"/>
      <c r="N139" s="24" t="n"/>
      <c r="O139" s="47">
        <f>CONCATENATE("0x",DEC2HEX(HEX2DEC(MID($N$138,3,5))*4+2,6))</f>
        <v/>
      </c>
      <c r="P139" s="47" t="inlineStr">
        <is>
          <t>-</t>
        </is>
      </c>
      <c r="Q139" s="47" t="inlineStr">
        <is>
          <t>O</t>
        </is>
      </c>
      <c r="R139" s="24" t="n"/>
    </row>
    <row r="140" ht="20.1" customHeight="1">
      <c r="A140" s="24" t="n"/>
      <c r="B140" s="47" t="inlineStr">
        <is>
          <t>RO</t>
        </is>
      </c>
      <c r="C140" s="24" t="n"/>
      <c r="D140" s="47" t="inlineStr">
        <is>
          <t>RX_BIT_ERR_CNT[15:8]</t>
        </is>
      </c>
      <c r="E140" s="48" t="n"/>
      <c r="F140" s="48" t="n"/>
      <c r="G140" s="48" t="n"/>
      <c r="H140" s="48" t="n"/>
      <c r="I140" s="48" t="n"/>
      <c r="J140" s="48" t="n"/>
      <c r="K140" s="36" t="n"/>
      <c r="L140" s="24" t="n"/>
      <c r="M140" s="24" t="n"/>
      <c r="N140" s="24" t="n"/>
      <c r="O140" s="47">
        <f>CONCATENATE("0x",DEC2HEX(HEX2DEC(MID($N$138,3,5))*4+1,6))</f>
        <v/>
      </c>
      <c r="P140" s="47" t="inlineStr">
        <is>
          <t>-</t>
        </is>
      </c>
      <c r="Q140" s="47" t="inlineStr">
        <is>
          <t>O</t>
        </is>
      </c>
      <c r="R140" s="24" t="n"/>
    </row>
    <row r="141" ht="20.1" customHeight="1">
      <c r="A141" s="25" t="n"/>
      <c r="B141" s="44" t="inlineStr">
        <is>
          <t>RO</t>
        </is>
      </c>
      <c r="C141" s="25" t="n"/>
      <c r="D141" s="44" t="inlineStr">
        <is>
          <t>RX_BIT_ERR_CNT[7:0]</t>
        </is>
      </c>
      <c r="E141" s="45" t="n"/>
      <c r="F141" s="45" t="n"/>
      <c r="G141" s="45" t="n"/>
      <c r="H141" s="45" t="n"/>
      <c r="I141" s="45" t="n"/>
      <c r="J141" s="45" t="n"/>
      <c r="K141" s="46" t="n"/>
      <c r="L141" s="25" t="n"/>
      <c r="M141" s="25" t="n"/>
      <c r="N141" s="25" t="n"/>
      <c r="O141" s="44">
        <f>CONCATENATE("0x",DEC2HEX(HEX2DEC(MID($N$138,3,5))*4+0,6))</f>
        <v/>
      </c>
      <c r="P141" s="44" t="inlineStr">
        <is>
          <t>-</t>
        </is>
      </c>
      <c r="Q141" s="44" t="inlineStr">
        <is>
          <t>O</t>
        </is>
      </c>
      <c r="R141" s="25" t="n"/>
    </row>
    <row r="142" ht="20.1" customHeight="1">
      <c r="A142" s="28" t="inlineStr">
        <is>
          <t>0x00003</t>
        </is>
      </c>
      <c r="B142" s="49" t="inlineStr">
        <is>
          <t>RO</t>
        </is>
      </c>
      <c r="C142" s="28" t="inlineStr">
        <is>
          <t>RX_WORD_ERR_CNT</t>
        </is>
      </c>
      <c r="D142" s="49" t="inlineStr">
        <is>
          <t>RX_WORD_ERR_CNT[31:24]</t>
        </is>
      </c>
      <c r="E142" s="50" t="n"/>
      <c r="F142" s="50" t="n"/>
      <c r="G142" s="50" t="n"/>
      <c r="H142" s="50" t="n"/>
      <c r="I142" s="50" t="n"/>
      <c r="J142" s="50" t="n"/>
      <c r="K142" s="51" t="n"/>
      <c r="L142" s="23" t="inlineStr">
        <is>
          <t>RX_WORD_ERR_CNT[31:0]: words written with error flag</t>
        </is>
      </c>
      <c r="M142" s="23" t="inlineStr">
        <is>
          <t>Saturating
Active when ERRCHK_ENB = 1
Write returns SLVERR (no effect)
Also cleared by SOFT_RESET and when GLOBAL_EN AND RX_EN rises</t>
        </is>
      </c>
      <c r="N142" s="28">
        <f>CONCATENATE("0x",DEC2HEX(HEX2DEC(MID(Module_Address_Usage!$C$4,3,5))+HEX2DEC(MID($O$129,3,5))+HEX2DEC(MID($A142,3,5)),5))</f>
        <v/>
      </c>
      <c r="O142" s="49">
        <f>CONCATENATE("0x",DEC2HEX(HEX2DEC(MID($N$142,3,5))*4+3,6))</f>
        <v/>
      </c>
      <c r="P142" s="49" t="inlineStr">
        <is>
          <t>-</t>
        </is>
      </c>
      <c r="Q142" s="49" t="inlineStr">
        <is>
          <t>O</t>
        </is>
      </c>
      <c r="R142" s="28">
        <f>CONCATENATE("0x",LEFT(DEC2HEX(HEX2DEC(MID(Module_Address_Usage!$C$2,3,8))+HEX2DEC(MID($N$142,3,5))*4+0,8),4),"_",RIGHT(DEC2HEX(HEX2DEC(MID(Module_Address_Usage!$C$2,3,8))+HEX2DEC(MID($N$142,3,5))*4+0,8),4))</f>
        <v/>
      </c>
    </row>
    <row r="143" ht="20.1" customHeight="1">
      <c r="A143" s="24" t="n"/>
      <c r="B143" s="47" t="inlineStr">
        <is>
          <t>RO</t>
        </is>
      </c>
      <c r="C143" s="24" t="n"/>
      <c r="D143" s="47" t="inlineStr">
        <is>
          <t>RX_WORD_ERR_CNT[23:16]</t>
        </is>
      </c>
      <c r="E143" s="48" t="n"/>
      <c r="F143" s="48" t="n"/>
      <c r="G143" s="48" t="n"/>
      <c r="H143" s="48" t="n"/>
      <c r="I143" s="48" t="n"/>
      <c r="J143" s="48" t="n"/>
      <c r="K143" s="36" t="n"/>
      <c r="L143" s="24" t="n"/>
      <c r="M143" s="24" t="n"/>
      <c r="N143" s="24" t="n"/>
      <c r="O143" s="47">
        <f>CONCATENATE("0x",DEC2HEX(HEX2DEC(MID($N$142,3,5))*4+2,6))</f>
        <v/>
      </c>
      <c r="P143" s="47" t="inlineStr">
        <is>
          <t>-</t>
        </is>
      </c>
      <c r="Q143" s="47" t="inlineStr">
        <is>
          <t>O</t>
        </is>
      </c>
      <c r="R143" s="24" t="n"/>
    </row>
    <row r="144" ht="20.1" customHeight="1">
      <c r="A144" s="24" t="n"/>
      <c r="B144" s="47" t="inlineStr">
        <is>
          <t>RO</t>
        </is>
      </c>
      <c r="C144" s="24" t="n"/>
      <c r="D144" s="47" t="inlineStr">
        <is>
          <t>RX_WORD_ERR_CNT[15:8]</t>
        </is>
      </c>
      <c r="E144" s="48" t="n"/>
      <c r="F144" s="48" t="n"/>
      <c r="G144" s="48" t="n"/>
      <c r="H144" s="48" t="n"/>
      <c r="I144" s="48" t="n"/>
      <c r="J144" s="48" t="n"/>
      <c r="K144" s="36" t="n"/>
      <c r="L144" s="24" t="n"/>
      <c r="M144" s="24" t="n"/>
      <c r="N144" s="24" t="n"/>
      <c r="O144" s="47">
        <f>CONCATENATE("0x",DEC2HEX(HEX2DEC(MID($N$142,3,5))*4+1,6))</f>
        <v/>
      </c>
      <c r="P144" s="47" t="inlineStr">
        <is>
          <t>-</t>
        </is>
      </c>
      <c r="Q144" s="47" t="inlineStr">
        <is>
          <t>O</t>
        </is>
      </c>
      <c r="R144" s="24" t="n"/>
    </row>
    <row r="145" ht="20.1" customHeight="1">
      <c r="A145" s="25" t="n"/>
      <c r="B145" s="44" t="inlineStr">
        <is>
          <t>RO</t>
        </is>
      </c>
      <c r="C145" s="25" t="n"/>
      <c r="D145" s="44" t="inlineStr">
        <is>
          <t>RX_WORD_ERR_CNT[7:0]</t>
        </is>
      </c>
      <c r="E145" s="45" t="n"/>
      <c r="F145" s="45" t="n"/>
      <c r="G145" s="45" t="n"/>
      <c r="H145" s="45" t="n"/>
      <c r="I145" s="45" t="n"/>
      <c r="J145" s="45" t="n"/>
      <c r="K145" s="46" t="n"/>
      <c r="L145" s="25" t="n"/>
      <c r="M145" s="25" t="n"/>
      <c r="N145" s="25" t="n"/>
      <c r="O145" s="44">
        <f>CONCATENATE("0x",DEC2HEX(HEX2DEC(MID($N$142,3,5))*4+0,6))</f>
        <v/>
      </c>
      <c r="P145" s="44" t="inlineStr">
        <is>
          <t>-</t>
        </is>
      </c>
      <c r="Q145" s="44" t="inlineStr">
        <is>
          <t>O</t>
        </is>
      </c>
      <c r="R145" s="25" t="n"/>
    </row>
    <row r="146" ht="21.25" customHeight="1">
      <c r="A146" s="28" t="inlineStr">
        <is>
          <t>0x00004</t>
        </is>
      </c>
      <c r="B146" s="49" t="inlineStr">
        <is>
          <t>RO</t>
        </is>
      </c>
      <c r="C146" s="28" t="inlineStr">
        <is>
          <t>RX_BIT_ERR_POS</t>
        </is>
      </c>
      <c r="D146" s="49" t="inlineStr">
        <is>
          <t>FRAME[12:5]</t>
        </is>
      </c>
      <c r="E146" s="50" t="n"/>
      <c r="F146" s="50" t="n"/>
      <c r="G146" s="50" t="n"/>
      <c r="H146" s="50" t="n"/>
      <c r="I146" s="50" t="n"/>
      <c r="J146" s="50" t="n"/>
      <c r="K146" s="51" t="n"/>
      <c r="L146" s="23" t="inlineStr">
        <is>
          <t>Position of the last bad bit
BIT: bit in word (0 ~ 11)
WORD: word in subframe (0 = sync)
SUBFRAME: 0 ~ 3, FRAME: frame counter
Layout: frame[31:19], subframe[18:17], word[16:4], bit[3:0]</t>
        </is>
      </c>
      <c r="M146" s="23" t="inlineStr">
        <is>
          <t>Cleared by RX_ERR_CLEAR
Write returns SLVERR (no effect)
Also cleared by SOFT_RESET and when GLOBAL_EN AND RX_EN rises</t>
        </is>
      </c>
      <c r="N146" s="28">
        <f>CONCATENATE("0x",DEC2HEX(HEX2DEC(MID(Module_Address_Usage!$C$4,3,5))+HEX2DEC(MID($O$129,3,5))+HEX2DEC(MID($A146,3,5)),5))</f>
        <v/>
      </c>
      <c r="O146" s="49">
        <f>CONCATENATE("0x",DEC2HEX(HEX2DEC(MID($N$146,3,5))*4+3,6))</f>
        <v/>
      </c>
      <c r="P146" s="49" t="inlineStr">
        <is>
          <t>-</t>
        </is>
      </c>
      <c r="Q146" s="49" t="inlineStr">
        <is>
          <t>O</t>
        </is>
      </c>
      <c r="R146" s="28">
        <f>CONCATENATE("0x",LEFT(DEC2HEX(HEX2DEC(MID(Module_Address_Usage!$C$2,3,8))+HEX2DEC(MID($N$146,3,5))*4+0,8),4),"_",RIGHT(DEC2HEX(HEX2DEC(MID(Module_Address_Usage!$C$2,3,8))+HEX2DEC(MID($N$146,3,5))*4+0,8),4))</f>
        <v/>
      </c>
    </row>
    <row r="147" ht="21.25" customHeight="1">
      <c r="A147" s="24" t="n"/>
      <c r="B147" s="47" t="inlineStr">
        <is>
          <t>RO</t>
        </is>
      </c>
      <c r="C147" s="24" t="n"/>
      <c r="D147" s="47" t="inlineStr">
        <is>
          <t>FRAME[4:0]</t>
        </is>
      </c>
      <c r="E147" s="48" t="n"/>
      <c r="F147" s="48" t="n"/>
      <c r="G147" s="48" t="n"/>
      <c r="H147" s="36" t="n"/>
      <c r="I147" s="47" t="inlineStr">
        <is>
          <t>SUBFRAME[1:0]</t>
        </is>
      </c>
      <c r="J147" s="36" t="n"/>
      <c r="K147" s="47" t="inlineStr">
        <is>
          <t>WORD[12:12]</t>
        </is>
      </c>
      <c r="L147" s="24" t="n"/>
      <c r="M147" s="24" t="n"/>
      <c r="N147" s="24" t="n"/>
      <c r="O147" s="47">
        <f>CONCATENATE("0x",DEC2HEX(HEX2DEC(MID($N$146,3,5))*4+2,6))</f>
        <v/>
      </c>
      <c r="P147" s="47" t="inlineStr">
        <is>
          <t>-</t>
        </is>
      </c>
      <c r="Q147" s="47" t="inlineStr">
        <is>
          <t>O</t>
        </is>
      </c>
      <c r="R147" s="24" t="n"/>
    </row>
    <row r="148" ht="21.25" customHeight="1">
      <c r="A148" s="24" t="n"/>
      <c r="B148" s="47" t="inlineStr">
        <is>
          <t>RO</t>
        </is>
      </c>
      <c r="C148" s="24" t="n"/>
      <c r="D148" s="47" t="inlineStr">
        <is>
          <t>WORD[11:4]</t>
        </is>
      </c>
      <c r="E148" s="48" t="n"/>
      <c r="F148" s="48" t="n"/>
      <c r="G148" s="48" t="n"/>
      <c r="H148" s="48" t="n"/>
      <c r="I148" s="48" t="n"/>
      <c r="J148" s="48" t="n"/>
      <c r="K148" s="36" t="n"/>
      <c r="L148" s="24" t="n"/>
      <c r="M148" s="24" t="n"/>
      <c r="N148" s="24" t="n"/>
      <c r="O148" s="47">
        <f>CONCATENATE("0x",DEC2HEX(HEX2DEC(MID($N$146,3,5))*4+1,6))</f>
        <v/>
      </c>
      <c r="P148" s="47" t="inlineStr">
        <is>
          <t>-</t>
        </is>
      </c>
      <c r="Q148" s="47" t="inlineStr">
        <is>
          <t>O</t>
        </is>
      </c>
      <c r="R148" s="24" t="n"/>
    </row>
    <row r="149" ht="21.25" customHeight="1">
      <c r="A149" s="25" t="n"/>
      <c r="B149" s="44" t="inlineStr">
        <is>
          <t>RO</t>
        </is>
      </c>
      <c r="C149" s="25" t="n"/>
      <c r="D149" s="44" t="inlineStr">
        <is>
          <t>WORD[3:0]</t>
        </is>
      </c>
      <c r="E149" s="45" t="n"/>
      <c r="F149" s="45" t="n"/>
      <c r="G149" s="46" t="n"/>
      <c r="H149" s="44" t="inlineStr">
        <is>
          <t>BIT[3:0]</t>
        </is>
      </c>
      <c r="I149" s="45" t="n"/>
      <c r="J149" s="45" t="n"/>
      <c r="K149" s="46" t="n"/>
      <c r="L149" s="25" t="n"/>
      <c r="M149" s="25" t="n"/>
      <c r="N149" s="25" t="n"/>
      <c r="O149" s="44">
        <f>CONCATENATE("0x",DEC2HEX(HEX2DEC(MID($N$146,3,5))*4+0,6))</f>
        <v/>
      </c>
      <c r="P149" s="44" t="inlineStr">
        <is>
          <t>-</t>
        </is>
      </c>
      <c r="Q149" s="44" t="inlineStr">
        <is>
          <t>O</t>
        </is>
      </c>
      <c r="R149" s="25" t="n"/>
    </row>
    <row r="150" ht="24.625" customHeight="1">
      <c r="A150" s="28" t="inlineStr">
        <is>
          <t>0x00005</t>
        </is>
      </c>
      <c r="B150" s="49" t="inlineStr">
        <is>
          <t>RO</t>
        </is>
      </c>
      <c r="C150" s="28" t="inlineStr">
        <is>
          <t>RX_BIT_ERR_POS0</t>
        </is>
      </c>
      <c r="D150" s="49" t="inlineStr">
        <is>
          <t>FRAME[12:5]</t>
        </is>
      </c>
      <c r="E150" s="50" t="n"/>
      <c r="F150" s="50" t="n"/>
      <c r="G150" s="50" t="n"/>
      <c r="H150" s="50" t="n"/>
      <c r="I150" s="50" t="n"/>
      <c r="J150" s="50" t="n"/>
      <c r="K150" s="51" t="n"/>
      <c r="L150" s="23" t="inlineStr">
        <is>
          <t>Position of the first bad bit
BIT: bit in word (0 ~ 11)
WORD: word in subframe (0 = sync)
SUBFRAME: 0 ~ 3, FRAME: frame counter
First bad bit since the last clear; layout: frame[31:19], subframe[18:17], word[16:4], bit[3:0]</t>
        </is>
      </c>
      <c r="M150" s="23" t="inlineStr">
        <is>
          <t>Cleared by RX_ERR_CLEAR
Write returns SLVERR (no effect)
Also cleared by SOFT_RESET and when GLOBAL_EN AND RX_EN rises</t>
        </is>
      </c>
      <c r="N150" s="28">
        <f>CONCATENATE("0x",DEC2HEX(HEX2DEC(MID(Module_Address_Usage!$C$4,3,5))+HEX2DEC(MID($O$129,3,5))+HEX2DEC(MID($A150,3,5)),5))</f>
        <v/>
      </c>
      <c r="O150" s="49">
        <f>CONCATENATE("0x",DEC2HEX(HEX2DEC(MID($N$150,3,5))*4+3,6))</f>
        <v/>
      </c>
      <c r="P150" s="49" t="inlineStr">
        <is>
          <t>-</t>
        </is>
      </c>
      <c r="Q150" s="49" t="inlineStr">
        <is>
          <t>O</t>
        </is>
      </c>
      <c r="R150" s="28">
        <f>CONCATENATE("0x",LEFT(DEC2HEX(HEX2DEC(MID(Module_Address_Usage!$C$2,3,8))+HEX2DEC(MID($N$150,3,5))*4+0,8),4),"_",RIGHT(DEC2HEX(HEX2DEC(MID(Module_Address_Usage!$C$2,3,8))+HEX2DEC(MID($N$150,3,5))*4+0,8),4))</f>
        <v/>
      </c>
    </row>
    <row r="151" ht="24.625" customHeight="1">
      <c r="A151" s="24" t="n"/>
      <c r="B151" s="47" t="inlineStr">
        <is>
          <t>RO</t>
        </is>
      </c>
      <c r="C151" s="24" t="n"/>
      <c r="D151" s="47" t="inlineStr">
        <is>
          <t>FRAME[4:0]</t>
        </is>
      </c>
      <c r="E151" s="48" t="n"/>
      <c r="F151" s="48" t="n"/>
      <c r="G151" s="48" t="n"/>
      <c r="H151" s="36" t="n"/>
      <c r="I151" s="47" t="inlineStr">
        <is>
          <t>SUBFRAME[1:0]</t>
        </is>
      </c>
      <c r="J151" s="36" t="n"/>
      <c r="K151" s="47" t="inlineStr">
        <is>
          <t>WORD[12:12]</t>
        </is>
      </c>
      <c r="L151" s="24" t="n"/>
      <c r="M151" s="24" t="n"/>
      <c r="N151" s="24" t="n"/>
      <c r="O151" s="47">
        <f>CONCATENATE("0x",DEC2HEX(HEX2DEC(MID($N$150,3,5))*4+2,6))</f>
        <v/>
      </c>
      <c r="P151" s="47" t="inlineStr">
        <is>
          <t>-</t>
        </is>
      </c>
      <c r="Q151" s="47" t="inlineStr">
        <is>
          <t>O</t>
        </is>
      </c>
      <c r="R151" s="24" t="n"/>
    </row>
    <row r="152" ht="24.625" customHeight="1">
      <c r="A152" s="24" t="n"/>
      <c r="B152" s="47" t="inlineStr">
        <is>
          <t>RO</t>
        </is>
      </c>
      <c r="C152" s="24" t="n"/>
      <c r="D152" s="47" t="inlineStr">
        <is>
          <t>WORD[11:4]</t>
        </is>
      </c>
      <c r="E152" s="48" t="n"/>
      <c r="F152" s="48" t="n"/>
      <c r="G152" s="48" t="n"/>
      <c r="H152" s="48" t="n"/>
      <c r="I152" s="48" t="n"/>
      <c r="J152" s="48" t="n"/>
      <c r="K152" s="36" t="n"/>
      <c r="L152" s="24" t="n"/>
      <c r="M152" s="24" t="n"/>
      <c r="N152" s="24" t="n"/>
      <c r="O152" s="47">
        <f>CONCATENATE("0x",DEC2HEX(HEX2DEC(MID($N$150,3,5))*4+1,6))</f>
        <v/>
      </c>
      <c r="P152" s="47" t="inlineStr">
        <is>
          <t>-</t>
        </is>
      </c>
      <c r="Q152" s="47" t="inlineStr">
        <is>
          <t>O</t>
        </is>
      </c>
      <c r="R152" s="24" t="n"/>
    </row>
    <row r="153" ht="24.625" customHeight="1">
      <c r="A153" s="25" t="n"/>
      <c r="B153" s="44" t="inlineStr">
        <is>
          <t>RO</t>
        </is>
      </c>
      <c r="C153" s="25" t="n"/>
      <c r="D153" s="44" t="inlineStr">
        <is>
          <t>WORD[3:0]</t>
        </is>
      </c>
      <c r="E153" s="45" t="n"/>
      <c r="F153" s="45" t="n"/>
      <c r="G153" s="46" t="n"/>
      <c r="H153" s="44" t="inlineStr">
        <is>
          <t>BIT[3:0]</t>
        </is>
      </c>
      <c r="I153" s="45" t="n"/>
      <c r="J153" s="45" t="n"/>
      <c r="K153" s="46" t="n"/>
      <c r="L153" s="25" t="n"/>
      <c r="M153" s="25" t="n"/>
      <c r="N153" s="25" t="n"/>
      <c r="O153" s="44">
        <f>CONCATENATE("0x",DEC2HEX(HEX2DEC(MID($N$150,3,5))*4+0,6))</f>
        <v/>
      </c>
      <c r="P153" s="44" t="inlineStr">
        <is>
          <t>-</t>
        </is>
      </c>
      <c r="Q153" s="44" t="inlineStr">
        <is>
          <t>O</t>
        </is>
      </c>
      <c r="R153" s="25" t="n"/>
    </row>
    <row r="154" ht="21.25" customHeight="1">
      <c r="A154" s="28" t="inlineStr">
        <is>
          <t>0x00006</t>
        </is>
      </c>
      <c r="B154" s="49" t="inlineStr">
        <is>
          <t>X</t>
        </is>
      </c>
      <c r="C154" s="28" t="inlineStr">
        <is>
          <t>RX_BIT_ERR_CAUSE</t>
        </is>
      </c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23" t="inlineStr">
        <is>
          <t>Sticky: checks that produced a bad bit
HBP: EDGE_DIST, PHASE, MID_MID, NO_EDGE, RESYNC
BPRZ: NO_PULSE, WRONG_POL, NO_NULL, BIT_GAP, BIT_LOST
(spec Table 40)</t>
        </is>
      </c>
      <c r="M154" s="23" t="inlineStr">
        <is>
          <t>0b1: check produced a bad bit
Cleared by RX_ERR_CLEAR
Write returns SLVERR (no effect)
Also cleared by SOFT_RESET and when GLOBAL_EN AND RX_EN rises</t>
        </is>
      </c>
      <c r="N154" s="28">
        <f>CONCATENATE("0x",DEC2HEX(HEX2DEC(MID(Module_Address_Usage!$C$4,3,5))+HEX2DEC(MID($O$129,3,5))+HEX2DEC(MID($A154,3,5)),5))</f>
        <v/>
      </c>
      <c r="O154" s="49">
        <f>CONCATENATE("0x",DEC2HEX(HEX2DEC(MID($N$154,3,5))*4+3,6))</f>
        <v/>
      </c>
      <c r="P154" s="49" t="inlineStr">
        <is>
          <t>-</t>
        </is>
      </c>
      <c r="Q154" s="49" t="inlineStr">
        <is>
          <t>X</t>
        </is>
      </c>
      <c r="R154" s="28">
        <f>CONCATENATE("0x",LEFT(DEC2HEX(HEX2DEC(MID(Module_Address_Usage!$C$2,3,8))+HEX2DEC(MID($N$154,3,5))*4+0,8),4),"_",RIGHT(DEC2HEX(HEX2DEC(MID(Module_Address_Usage!$C$2,3,8))+HEX2DEC(MID($N$154,3,5))*4+0,8),4))</f>
        <v/>
      </c>
    </row>
    <row r="155" ht="21.25" customHeight="1">
      <c r="A155" s="24" t="n"/>
      <c r="B155" s="47" t="inlineStr">
        <is>
          <t>X</t>
        </is>
      </c>
      <c r="C155" s="24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24" t="n"/>
      <c r="M155" s="24" t="n"/>
      <c r="N155" s="24" t="n"/>
      <c r="O155" s="47">
        <f>CONCATENATE("0x",DEC2HEX(HEX2DEC(MID($N$154,3,5))*4+2,6))</f>
        <v/>
      </c>
      <c r="P155" s="47" t="inlineStr">
        <is>
          <t>-</t>
        </is>
      </c>
      <c r="Q155" s="47" t="inlineStr">
        <is>
          <t>X</t>
        </is>
      </c>
      <c r="R155" s="24" t="n"/>
    </row>
    <row r="156" ht="21.25" customHeight="1">
      <c r="A156" s="24" t="n"/>
      <c r="B156" s="47" t="inlineStr">
        <is>
          <t>RO</t>
        </is>
      </c>
      <c r="C156" s="24" t="n"/>
      <c r="D156" s="17" t="n"/>
      <c r="E156" s="17" t="n"/>
      <c r="F156" s="17" t="n"/>
      <c r="G156" s="17" t="n"/>
      <c r="H156" s="17" t="n"/>
      <c r="I156" s="17" t="n"/>
      <c r="J156" s="47" t="inlineStr">
        <is>
          <t>RESYNC</t>
        </is>
      </c>
      <c r="K156" s="47" t="inlineStr">
        <is>
          <t>BIT_LOST</t>
        </is>
      </c>
      <c r="L156" s="24" t="n"/>
      <c r="M156" s="24" t="n"/>
      <c r="N156" s="24" t="n"/>
      <c r="O156" s="47">
        <f>CONCATENATE("0x",DEC2HEX(HEX2DEC(MID($N$154,3,5))*4+1,6))</f>
        <v/>
      </c>
      <c r="P156" s="47" t="inlineStr">
        <is>
          <t>-</t>
        </is>
      </c>
      <c r="Q156" s="47" t="inlineStr">
        <is>
          <t>O</t>
        </is>
      </c>
      <c r="R156" s="24" t="n"/>
    </row>
    <row r="157" ht="21.25" customHeight="1">
      <c r="A157" s="25" t="n"/>
      <c r="B157" s="44" t="inlineStr">
        <is>
          <t>RO</t>
        </is>
      </c>
      <c r="C157" s="25" t="n"/>
      <c r="D157" s="44" t="inlineStr">
        <is>
          <t>BIT_GAP</t>
        </is>
      </c>
      <c r="E157" s="44" t="inlineStr">
        <is>
          <t>NO_NULL</t>
        </is>
      </c>
      <c r="F157" s="44" t="inlineStr">
        <is>
          <t>WRONG_POL</t>
        </is>
      </c>
      <c r="G157" s="44" t="inlineStr">
        <is>
          <t>NO_PULSE</t>
        </is>
      </c>
      <c r="H157" s="44" t="inlineStr">
        <is>
          <t>NO_EDGE</t>
        </is>
      </c>
      <c r="I157" s="44" t="inlineStr">
        <is>
          <t>MID_MID</t>
        </is>
      </c>
      <c r="J157" s="44" t="inlineStr">
        <is>
          <t>PHASE</t>
        </is>
      </c>
      <c r="K157" s="44" t="inlineStr">
        <is>
          <t>EDGE_DIST</t>
        </is>
      </c>
      <c r="L157" s="25" t="n"/>
      <c r="M157" s="25" t="n"/>
      <c r="N157" s="25" t="n"/>
      <c r="O157" s="44">
        <f>CONCATENATE("0x",DEC2HEX(HEX2DEC(MID($N$154,3,5))*4+0,6))</f>
        <v/>
      </c>
      <c r="P157" s="44" t="inlineStr">
        <is>
          <t>-</t>
        </is>
      </c>
      <c r="Q157" s="44" t="inlineStr">
        <is>
          <t>O</t>
        </is>
      </c>
      <c r="R157" s="25" t="n"/>
    </row>
    <row r="158" ht="20.1" customHeight="1">
      <c r="A158" s="28" t="inlineStr">
        <is>
          <t>0x00007</t>
        </is>
      </c>
      <c r="B158" s="49" t="inlineStr">
        <is>
          <t>X</t>
        </is>
      </c>
      <c r="C158" s="28" t="inlineStr">
        <is>
          <t>RX_ERR_CTRL</t>
        </is>
      </c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23" t="inlineStr">
        <is>
          <t>ERRCHK_ENB: bit-error check after lock
Applied only while rx_active = 0</t>
        </is>
      </c>
      <c r="M158" s="23" t="inlineStr">
        <is>
          <t>0b0: off
0b1: on
A write while rx_active = 1 takes effect when rx_active falls
Bits [31:1] reserved, read 0</t>
        </is>
      </c>
      <c r="N158" s="28">
        <f>CONCATENATE("0x",DEC2HEX(HEX2DEC(MID(Module_Address_Usage!$C$4,3,5))+HEX2DEC(MID($O$129,3,5))+HEX2DEC(MID($A158,3,5)),5))</f>
        <v/>
      </c>
      <c r="O158" s="49">
        <f>CONCATENATE("0x",DEC2HEX(HEX2DEC(MID($N$158,3,5))*4+3,6))</f>
        <v/>
      </c>
      <c r="P158" s="49" t="inlineStr">
        <is>
          <t>-</t>
        </is>
      </c>
      <c r="Q158" s="49" t="inlineStr">
        <is>
          <t>X</t>
        </is>
      </c>
      <c r="R158" s="28">
        <f>CONCATENATE("0x",LEFT(DEC2HEX(HEX2DEC(MID(Module_Address_Usage!$C$2,3,8))+HEX2DEC(MID($N$158,3,5))*4+0,8),4),"_",RIGHT(DEC2HEX(HEX2DEC(MID(Module_Address_Usage!$C$2,3,8))+HEX2DEC(MID($N$158,3,5))*4+0,8),4))</f>
        <v/>
      </c>
    </row>
    <row r="159" ht="20.1" customHeight="1">
      <c r="A159" s="24" t="n"/>
      <c r="B159" s="47" t="inlineStr">
        <is>
          <t>X</t>
        </is>
      </c>
      <c r="C159" s="24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24" t="n"/>
      <c r="M159" s="24" t="n"/>
      <c r="N159" s="24" t="n"/>
      <c r="O159" s="47">
        <f>CONCATENATE("0x",DEC2HEX(HEX2DEC(MID($N$158,3,5))*4+2,6))</f>
        <v/>
      </c>
      <c r="P159" s="47" t="inlineStr">
        <is>
          <t>-</t>
        </is>
      </c>
      <c r="Q159" s="47" t="inlineStr">
        <is>
          <t>X</t>
        </is>
      </c>
      <c r="R159" s="24" t="n"/>
    </row>
    <row r="160" ht="20.1" customHeight="1">
      <c r="A160" s="24" t="n"/>
      <c r="B160" s="47" t="inlineStr">
        <is>
          <t>X</t>
        </is>
      </c>
      <c r="C160" s="24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24" t="n"/>
      <c r="M160" s="24" t="n"/>
      <c r="N160" s="24" t="n"/>
      <c r="O160" s="47">
        <f>CONCATENATE("0x",DEC2HEX(HEX2DEC(MID($N$158,3,5))*4+1,6))</f>
        <v/>
      </c>
      <c r="P160" s="47" t="inlineStr">
        <is>
          <t>-</t>
        </is>
      </c>
      <c r="Q160" s="47" t="inlineStr">
        <is>
          <t>X</t>
        </is>
      </c>
      <c r="R160" s="24" t="n"/>
    </row>
    <row r="161" ht="20.1" customHeight="1">
      <c r="A161" s="25" t="n"/>
      <c r="B161" s="44" t="inlineStr">
        <is>
          <t>RW</t>
        </is>
      </c>
      <c r="C161" s="25" t="n"/>
      <c r="D161" s="19" t="n"/>
      <c r="E161" s="19" t="n"/>
      <c r="F161" s="19" t="n"/>
      <c r="G161" s="19" t="n"/>
      <c r="H161" s="19" t="n"/>
      <c r="I161" s="19" t="n"/>
      <c r="J161" s="19" t="n"/>
      <c r="K161" s="44" t="inlineStr">
        <is>
          <t>ERRCHK_ENB</t>
        </is>
      </c>
      <c r="L161" s="25" t="n"/>
      <c r="M161" s="25" t="n"/>
      <c r="N161" s="25" t="n"/>
      <c r="O161" s="44">
        <f>CONCATENATE("0x",DEC2HEX(HEX2DEC(MID($N$158,3,5))*4+0,6))</f>
        <v/>
      </c>
      <c r="P161" s="44" t="inlineStr">
        <is>
          <t>0x00</t>
        </is>
      </c>
      <c r="Q161" s="44" t="inlineStr">
        <is>
          <t>O</t>
        </is>
      </c>
      <c r="R161" s="25" t="n"/>
    </row>
    <row r="162" ht="21.25" customHeight="1">
      <c r="A162" s="28" t="inlineStr">
        <is>
          <t>0x00008</t>
        </is>
      </c>
      <c r="B162" s="49" t="inlineStr">
        <is>
          <t>RO</t>
        </is>
      </c>
      <c r="C162" s="28" t="inlineStr">
        <is>
          <t>RX_BIT_POS_NOW</t>
        </is>
      </c>
      <c r="D162" s="49" t="inlineStr">
        <is>
          <t>FRAME[12:5]</t>
        </is>
      </c>
      <c r="E162" s="50" t="n"/>
      <c r="F162" s="50" t="n"/>
      <c r="G162" s="50" t="n"/>
      <c r="H162" s="50" t="n"/>
      <c r="I162" s="50" t="n"/>
      <c r="J162" s="50" t="n"/>
      <c r="K162" s="51" t="n"/>
      <c r="L162" s="23" t="inlineStr">
        <is>
          <t>Position of the current bit (INSYNC = 1)
BIT: bit in word (0 ~ 11)
WORD: word in subframe (0 = sync)
SUBFRAME: 0 ~ 3, FRAME: frame counter
Layout: frame[31:19], subframe[18:17], word[16:4], bit[3:0]</t>
        </is>
      </c>
      <c r="M162" s="23" t="inlineStr">
        <is>
          <t>Keeps last value when INSYNC falls
Write returns SLVERR (no effect)
Runs while INSYNC = 1, also with ERRCHK_ENB = 0
Not cleared by RX_ERR_CLEAR</t>
        </is>
      </c>
      <c r="N162" s="28">
        <f>CONCATENATE("0x",DEC2HEX(HEX2DEC(MID(Module_Address_Usage!$C$4,3,5))+HEX2DEC(MID($O$129,3,5))+HEX2DEC(MID($A162,3,5)),5))</f>
        <v/>
      </c>
      <c r="O162" s="49">
        <f>CONCATENATE("0x",DEC2HEX(HEX2DEC(MID($N$162,3,5))*4+3,6))</f>
        <v/>
      </c>
      <c r="P162" s="49" t="inlineStr">
        <is>
          <t>-</t>
        </is>
      </c>
      <c r="Q162" s="49" t="inlineStr">
        <is>
          <t>O</t>
        </is>
      </c>
      <c r="R162" s="28">
        <f>CONCATENATE("0x",LEFT(DEC2HEX(HEX2DEC(MID(Module_Address_Usage!$C$2,3,8))+HEX2DEC(MID($N$162,3,5))*4+0,8),4),"_",RIGHT(DEC2HEX(HEX2DEC(MID(Module_Address_Usage!$C$2,3,8))+HEX2DEC(MID($N$162,3,5))*4+0,8),4))</f>
        <v/>
      </c>
    </row>
    <row r="163" ht="21.25" customHeight="1">
      <c r="A163" s="24" t="n"/>
      <c r="B163" s="47" t="inlineStr">
        <is>
          <t>RO</t>
        </is>
      </c>
      <c r="C163" s="24" t="n"/>
      <c r="D163" s="47" t="inlineStr">
        <is>
          <t>FRAME[4:0]</t>
        </is>
      </c>
      <c r="E163" s="48" t="n"/>
      <c r="F163" s="48" t="n"/>
      <c r="G163" s="48" t="n"/>
      <c r="H163" s="36" t="n"/>
      <c r="I163" s="47" t="inlineStr">
        <is>
          <t>SUBFRAME[1:0]</t>
        </is>
      </c>
      <c r="J163" s="36" t="n"/>
      <c r="K163" s="47" t="inlineStr">
        <is>
          <t>WORD[12:12]</t>
        </is>
      </c>
      <c r="L163" s="24" t="n"/>
      <c r="M163" s="24" t="n"/>
      <c r="N163" s="24" t="n"/>
      <c r="O163" s="47">
        <f>CONCATENATE("0x",DEC2HEX(HEX2DEC(MID($N$162,3,5))*4+2,6))</f>
        <v/>
      </c>
      <c r="P163" s="47" t="inlineStr">
        <is>
          <t>-</t>
        </is>
      </c>
      <c r="Q163" s="47" t="inlineStr">
        <is>
          <t>O</t>
        </is>
      </c>
      <c r="R163" s="24" t="n"/>
    </row>
    <row r="164" ht="21.25" customHeight="1">
      <c r="A164" s="24" t="n"/>
      <c r="B164" s="47" t="inlineStr">
        <is>
          <t>RO</t>
        </is>
      </c>
      <c r="C164" s="24" t="n"/>
      <c r="D164" s="47" t="inlineStr">
        <is>
          <t>WORD[11:4]</t>
        </is>
      </c>
      <c r="E164" s="48" t="n"/>
      <c r="F164" s="48" t="n"/>
      <c r="G164" s="48" t="n"/>
      <c r="H164" s="48" t="n"/>
      <c r="I164" s="48" t="n"/>
      <c r="J164" s="48" t="n"/>
      <c r="K164" s="36" t="n"/>
      <c r="L164" s="24" t="n"/>
      <c r="M164" s="24" t="n"/>
      <c r="N164" s="24" t="n"/>
      <c r="O164" s="47">
        <f>CONCATENATE("0x",DEC2HEX(HEX2DEC(MID($N$162,3,5))*4+1,6))</f>
        <v/>
      </c>
      <c r="P164" s="47" t="inlineStr">
        <is>
          <t>-</t>
        </is>
      </c>
      <c r="Q164" s="47" t="inlineStr">
        <is>
          <t>O</t>
        </is>
      </c>
      <c r="R164" s="24" t="n"/>
    </row>
    <row r="165" ht="21.25" customHeight="1">
      <c r="A165" s="25" t="n"/>
      <c r="B165" s="44" t="inlineStr">
        <is>
          <t>RO</t>
        </is>
      </c>
      <c r="C165" s="25" t="n"/>
      <c r="D165" s="44" t="inlineStr">
        <is>
          <t>WORD[3:0]</t>
        </is>
      </c>
      <c r="E165" s="45" t="n"/>
      <c r="F165" s="45" t="n"/>
      <c r="G165" s="46" t="n"/>
      <c r="H165" s="44" t="inlineStr">
        <is>
          <t>BIT[3:0]</t>
        </is>
      </c>
      <c r="I165" s="45" t="n"/>
      <c r="J165" s="45" t="n"/>
      <c r="K165" s="46" t="n"/>
      <c r="L165" s="25" t="n"/>
      <c r="M165" s="25" t="n"/>
      <c r="N165" s="25" t="n"/>
      <c r="O165" s="44">
        <f>CONCATENATE("0x",DEC2HEX(HEX2DEC(MID($N$162,3,5))*4+0,6))</f>
        <v/>
      </c>
      <c r="P165" s="44" t="inlineStr">
        <is>
          <t>-</t>
        </is>
      </c>
      <c r="Q165" s="44" t="inlineStr">
        <is>
          <t>O</t>
        </is>
      </c>
      <c r="R165" s="25" t="n"/>
    </row>
    <row r="166" ht="21.25" customHeight="1">
      <c r="A166" s="28" t="inlineStr">
        <is>
          <t>0x00009</t>
        </is>
      </c>
      <c r="B166" s="49" t="inlineStr">
        <is>
          <t>X</t>
        </is>
      </c>
      <c r="C166" s="28" t="inlineStr">
        <is>
          <t>RX_SYNC_WD</t>
        </is>
      </c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23" t="inlineStr">
        <is>
          <t>MARGIN[7:0]: sync watchdog limit
= (16 + MARGIN) x 12 x W RX sample_ticks</t>
        </is>
      </c>
      <c r="M166" s="23" t="inlineStr">
        <is>
          <t>0x00: watchdog off
Default 0x08 (1.5 subframes)
Use at least 3 for bit cells up to 18 samples
Applied immediately; bits [31:8] reserved</t>
        </is>
      </c>
      <c r="N166" s="28">
        <f>CONCATENATE("0x",DEC2HEX(HEX2DEC(MID(Module_Address_Usage!$C$4,3,5))+HEX2DEC(MID($O$129,3,5))+HEX2DEC(MID($A166,3,5)),5))</f>
        <v/>
      </c>
      <c r="O166" s="49">
        <f>CONCATENATE("0x",DEC2HEX(HEX2DEC(MID($N$166,3,5))*4+3,6))</f>
        <v/>
      </c>
      <c r="P166" s="49" t="inlineStr">
        <is>
          <t>-</t>
        </is>
      </c>
      <c r="Q166" s="49" t="inlineStr">
        <is>
          <t>X</t>
        </is>
      </c>
      <c r="R166" s="28">
        <f>CONCATENATE("0x",LEFT(DEC2HEX(HEX2DEC(MID(Module_Address_Usage!$C$2,3,8))+HEX2DEC(MID($N$166,3,5))*4+0,8),4),"_",RIGHT(DEC2HEX(HEX2DEC(MID(Module_Address_Usage!$C$2,3,8))+HEX2DEC(MID($N$166,3,5))*4+0,8),4))</f>
        <v/>
      </c>
    </row>
    <row r="167" ht="21.25" customHeight="1">
      <c r="A167" s="24" t="n"/>
      <c r="B167" s="47" t="inlineStr">
        <is>
          <t>X</t>
        </is>
      </c>
      <c r="C167" s="24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24" t="n"/>
      <c r="M167" s="24" t="n"/>
      <c r="N167" s="24" t="n"/>
      <c r="O167" s="47">
        <f>CONCATENATE("0x",DEC2HEX(HEX2DEC(MID($N$166,3,5))*4+2,6))</f>
        <v/>
      </c>
      <c r="P167" s="47" t="inlineStr">
        <is>
          <t>-</t>
        </is>
      </c>
      <c r="Q167" s="47" t="inlineStr">
        <is>
          <t>X</t>
        </is>
      </c>
      <c r="R167" s="24" t="n"/>
    </row>
    <row r="168" ht="21.25" customHeight="1">
      <c r="A168" s="24" t="n"/>
      <c r="B168" s="47" t="inlineStr">
        <is>
          <t>X</t>
        </is>
      </c>
      <c r="C168" s="24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24" t="n"/>
      <c r="M168" s="24" t="n"/>
      <c r="N168" s="24" t="n"/>
      <c r="O168" s="47">
        <f>CONCATENATE("0x",DEC2HEX(HEX2DEC(MID($N$166,3,5))*4+1,6))</f>
        <v/>
      </c>
      <c r="P168" s="47" t="inlineStr">
        <is>
          <t>-</t>
        </is>
      </c>
      <c r="Q168" s="47" t="inlineStr">
        <is>
          <t>X</t>
        </is>
      </c>
      <c r="R168" s="24" t="n"/>
    </row>
    <row r="169" ht="21.25" customHeight="1">
      <c r="A169" s="25" t="n"/>
      <c r="B169" s="44" t="inlineStr">
        <is>
          <t>RW</t>
        </is>
      </c>
      <c r="C169" s="25" t="n"/>
      <c r="D169" s="44" t="inlineStr">
        <is>
          <t>MARGIN[7:0]</t>
        </is>
      </c>
      <c r="E169" s="45" t="n"/>
      <c r="F169" s="45" t="n"/>
      <c r="G169" s="45" t="n"/>
      <c r="H169" s="45" t="n"/>
      <c r="I169" s="45" t="n"/>
      <c r="J169" s="45" t="n"/>
      <c r="K169" s="46" t="n"/>
      <c r="L169" s="25" t="n"/>
      <c r="M169" s="25" t="n"/>
      <c r="N169" s="25" t="n"/>
      <c r="O169" s="44">
        <f>CONCATENATE("0x",DEC2HEX(HEX2DEC(MID($N$166,3,5))*4+0,6))</f>
        <v/>
      </c>
      <c r="P169" s="44" t="inlineStr">
        <is>
          <t>0x08</t>
        </is>
      </c>
      <c r="Q169" s="44" t="inlineStr">
        <is>
          <t>O</t>
        </is>
      </c>
      <c r="R169" s="25" t="n"/>
    </row>
    <row r="170" ht="27" customHeight="1">
      <c r="A170" s="28" t="inlineStr">
        <is>
          <t>0x0000A
~ 0x00017</t>
        </is>
      </c>
      <c r="B170" s="28" t="inlineStr">
        <is>
          <t>X</t>
        </is>
      </c>
      <c r="C170" s="28" t="inlineStr">
        <is>
          <t>Reserved</t>
        </is>
      </c>
      <c r="D170" s="41" t="n"/>
      <c r="E170" s="42" t="n"/>
      <c r="F170" s="42" t="n"/>
      <c r="G170" s="42" t="n"/>
      <c r="H170" s="42" t="n"/>
      <c r="I170" s="42" t="n"/>
      <c r="J170" s="42" t="n"/>
      <c r="K170" s="43" t="n"/>
      <c r="L170" s="23" t="inlineStr">
        <is>
          <t>Reserved</t>
        </is>
      </c>
      <c r="M170" s="23" t="inlineStr">
        <is>
          <t>Write ignored, read returns 0x0000_0000</t>
        </is>
      </c>
      <c r="N170" s="28">
        <f>CONCATENATE("0x",DEC2HEX(HEX2DEC(MID(Module_Address_Usage!$C$4,3,5))+HEX2DEC(MID($O$129,3,5))+HEX2DEC(MID($A170,3,5)),5))&amp;CHAR(10)&amp;"~ "&amp;CONCATENATE("0x",DEC2HEX(HEX2DEC(MID(Module_Address_Usage!$C$4,3,5))+HEX2DEC(MID($O$129,3,5))+HEX2DEC(MID($A170,13,5)),5))</f>
        <v/>
      </c>
      <c r="O170" s="28">
        <f>CONCATENATE("0x",DEC2HEX(HEX2DEC(MID(CONCATENATE("0x",DEC2HEX(HEX2DEC(MID(Module_Address_Usage!$C$4,3,5))+HEX2DEC(MID($O$129,3,5))+HEX2DEC(MID($A170,3,5)),5)),3,5))*4+0,6))&amp;CHAR(10)&amp;"~ "&amp;CONCATENATE("0x",DEC2HEX(HEX2DEC(MID(CONCATENATE("0x",DEC2HEX(HEX2DEC(MID(Module_Address_Usage!$C$4,3,5))+HEX2DEC(MID($O$129,3,5))+HEX2DEC(MID($A170,13,5)),5)),3,5))*4+3,6))</f>
        <v/>
      </c>
      <c r="P170" s="28" t="inlineStr">
        <is>
          <t>-</t>
        </is>
      </c>
      <c r="Q170" s="28" t="inlineStr">
        <is>
          <t>X</t>
        </is>
      </c>
      <c r="R170" s="28">
        <f>CONCATENATE("0x",LEFT(DEC2HEX(HEX2DEC(MID(Module_Address_Usage!$C$2,3,8))+HEX2DEC(MID(CONCATENATE("0x",DEC2HEX(HEX2DEC(MID(Module_Address_Usage!$C$4,3,5))+HEX2DEC(MID($O$129,3,5))+HEX2DEC(MID($A170,3,5)),5)),3,5))*4+0,8),4),"_",RIGHT(DEC2HEX(HEX2DEC(MID(Module_Address_Usage!$C$2,3,8))+HEX2DEC(MID(CONCATENATE("0x",DEC2HEX(HEX2DEC(MID(Module_Address_Usage!$C$4,3,5))+HEX2DEC(MID($O$129,3,5))+HEX2DEC(MID($A170,3,5)),5)),3,5))*4+0,8),4))&amp;CHAR(10)&amp;"~ "&amp;CONCATENATE("0x",LEFT(DEC2HEX(HEX2DEC(MID(Module_Address_Usage!$C$2,3,8))+HEX2DEC(MID(CONCATENATE("0x",DEC2HEX(HEX2DEC(MID(Module_Address_Usage!$C$4,3,5))+HEX2DEC(MID($O$129,3,5))+HEX2DEC(MID($A170,13,5)),5)),3,5))*4+3,8),4),"_",RIGHT(DEC2HEX(HEX2DEC(MID(Module_Address_Usage!$C$2,3,8))+HEX2DEC(MID(CONCATENATE("0x",DEC2HEX(HEX2DEC(MID(Module_Address_Usage!$C$4,3,5))+HEX2DEC(MID($O$129,3,5))+HEX2DEC(MID($A170,13,5)),5)),3,5))*4+3,8),4))</f>
        <v/>
      </c>
    </row>
    <row r="171" ht="27" customHeight="1">
      <c r="A171" s="26" t="n"/>
      <c r="B171" s="26" t="n"/>
      <c r="C171" s="26" t="n"/>
      <c r="D171" s="26" t="inlineStr">
        <is>
          <t>TX Data Port</t>
        </is>
      </c>
      <c r="E171" s="48" t="n"/>
      <c r="F171" s="48" t="n"/>
      <c r="G171" s="48" t="n"/>
      <c r="H171" s="48" t="n"/>
      <c r="I171" s="48" t="n"/>
      <c r="J171" s="48" t="n"/>
      <c r="K171" s="36" t="n"/>
      <c r="L171" s="37" t="n"/>
      <c r="M171" s="26" t="n"/>
      <c r="N171" s="26" t="inlineStr">
        <is>
          <t>Base 
Address</t>
        </is>
      </c>
      <c r="O171" s="26" t="inlineStr">
        <is>
          <t>0x00040</t>
        </is>
      </c>
      <c r="P171" s="26" t="n"/>
      <c r="Q171" s="26" t="n"/>
      <c r="R171" s="26" t="n"/>
    </row>
    <row r="172" ht="20.1" customHeight="1">
      <c r="A172" s="28" t="inlineStr">
        <is>
          <t>0x00000</t>
        </is>
      </c>
      <c r="B172" s="49" t="inlineStr">
        <is>
          <t>X</t>
        </is>
      </c>
      <c r="C172" s="28" t="inlineStr">
        <is>
          <t>TX_DATA</t>
        </is>
      </c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23" t="inlineStr">
        <is>
          <t>TX_DATA[11:0]: latches the word to be pushed
(write alone does not push the FIFO)</t>
        </is>
      </c>
      <c r="M172" s="23" t="inlineStr">
        <is>
          <t>Read returns the last latched word
Write: bits [31:12] ignored, always OKAY, no push</t>
        </is>
      </c>
      <c r="N172" s="28">
        <f>CONCATENATE("0x",DEC2HEX(HEX2DEC(MID(Module_Address_Usage!$C$4,3,5))+HEX2DEC(MID($O$171,3,5))+HEX2DEC(MID($A172,3,5)),5))</f>
        <v/>
      </c>
      <c r="O172" s="49">
        <f>CONCATENATE("0x",DEC2HEX(HEX2DEC(MID($N$172,3,5))*4+3,6))</f>
        <v/>
      </c>
      <c r="P172" s="49" t="inlineStr">
        <is>
          <t>-</t>
        </is>
      </c>
      <c r="Q172" s="49" t="inlineStr">
        <is>
          <t>X</t>
        </is>
      </c>
      <c r="R172" s="28">
        <f>CONCATENATE("0x",LEFT(DEC2HEX(HEX2DEC(MID(Module_Address_Usage!$C$2,3,8))+HEX2DEC(MID($N$172,3,5))*4+0,8),4),"_",RIGHT(DEC2HEX(HEX2DEC(MID(Module_Address_Usage!$C$2,3,8))+HEX2DEC(MID($N$172,3,5))*4+0,8),4))</f>
        <v/>
      </c>
    </row>
    <row r="173" ht="20.1" customHeight="1">
      <c r="A173" s="24" t="n"/>
      <c r="B173" s="47" t="inlineStr">
        <is>
          <t>X</t>
        </is>
      </c>
      <c r="C173" s="24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24" t="n"/>
      <c r="M173" s="24" t="n"/>
      <c r="N173" s="24" t="n"/>
      <c r="O173" s="47">
        <f>CONCATENATE("0x",DEC2HEX(HEX2DEC(MID($N$172,3,5))*4+2,6))</f>
        <v/>
      </c>
      <c r="P173" s="47" t="inlineStr">
        <is>
          <t>-</t>
        </is>
      </c>
      <c r="Q173" s="47" t="inlineStr">
        <is>
          <t>X</t>
        </is>
      </c>
      <c r="R173" s="24" t="n"/>
    </row>
    <row r="174" ht="20.1" customHeight="1">
      <c r="A174" s="24" t="n"/>
      <c r="B174" s="47" t="inlineStr">
        <is>
          <t>RW</t>
        </is>
      </c>
      <c r="C174" s="24" t="n"/>
      <c r="D174" s="17" t="n"/>
      <c r="E174" s="17" t="n"/>
      <c r="F174" s="17" t="n"/>
      <c r="G174" s="17" t="n"/>
      <c r="H174" s="47" t="inlineStr">
        <is>
          <t>TX_DATA[11:8]</t>
        </is>
      </c>
      <c r="I174" s="48" t="n"/>
      <c r="J174" s="48" t="n"/>
      <c r="K174" s="36" t="n"/>
      <c r="L174" s="24" t="n"/>
      <c r="M174" s="24" t="n"/>
      <c r="N174" s="24" t="n"/>
      <c r="O174" s="47">
        <f>CONCATENATE("0x",DEC2HEX(HEX2DEC(MID($N$172,3,5))*4+1,6))</f>
        <v/>
      </c>
      <c r="P174" s="47" t="inlineStr">
        <is>
          <t>0x00</t>
        </is>
      </c>
      <c r="Q174" s="47" t="inlineStr">
        <is>
          <t>O</t>
        </is>
      </c>
      <c r="R174" s="24" t="n"/>
    </row>
    <row r="175" ht="20.1" customHeight="1">
      <c r="A175" s="25" t="n"/>
      <c r="B175" s="44" t="inlineStr">
        <is>
          <t>RW</t>
        </is>
      </c>
      <c r="C175" s="25" t="n"/>
      <c r="D175" s="44" t="inlineStr">
        <is>
          <t>TX_DATA[7:0]</t>
        </is>
      </c>
      <c r="E175" s="45" t="n"/>
      <c r="F175" s="45" t="n"/>
      <c r="G175" s="45" t="n"/>
      <c r="H175" s="45" t="n"/>
      <c r="I175" s="45" t="n"/>
      <c r="J175" s="45" t="n"/>
      <c r="K175" s="46" t="n"/>
      <c r="L175" s="25" t="n"/>
      <c r="M175" s="25" t="n"/>
      <c r="N175" s="25" t="n"/>
      <c r="O175" s="44">
        <f>CONCATENATE("0x",DEC2HEX(HEX2DEC(MID($N$172,3,5))*4+0,6))</f>
        <v/>
      </c>
      <c r="P175" s="44" t="inlineStr">
        <is>
          <t>0x00</t>
        </is>
      </c>
      <c r="Q175" s="44" t="inlineStr">
        <is>
          <t>O</t>
        </is>
      </c>
      <c r="R175" s="25" t="n"/>
    </row>
    <row r="176" ht="20.1" customHeight="1">
      <c r="A176" s="28" t="inlineStr">
        <is>
          <t>0x00001</t>
        </is>
      </c>
      <c r="B176" s="49" t="inlineStr">
        <is>
          <t>X</t>
        </is>
      </c>
      <c r="C176" s="28" t="inlineStr">
        <is>
          <t>TX_WR_EN</t>
        </is>
      </c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23" t="inlineStr">
        <is>
          <t>TX_WR_EN: arm TX_WR_ADDR pushes</t>
        </is>
      </c>
      <c r="M176" s="23" t="inlineStr">
        <is>
          <t>0b0: TX_WR_ADDR write pushes nothing
0b1: armed
Level arm: may stay 1 for a burst of pushes
Bits [31:1] reserved, read 0</t>
        </is>
      </c>
      <c r="N176" s="28">
        <f>CONCATENATE("0x",DEC2HEX(HEX2DEC(MID(Module_Address_Usage!$C$4,3,5))+HEX2DEC(MID($O$171,3,5))+HEX2DEC(MID($A176,3,5)),5))</f>
        <v/>
      </c>
      <c r="O176" s="49">
        <f>CONCATENATE("0x",DEC2HEX(HEX2DEC(MID($N$176,3,5))*4+3,6))</f>
        <v/>
      </c>
      <c r="P176" s="49" t="inlineStr">
        <is>
          <t>-</t>
        </is>
      </c>
      <c r="Q176" s="49" t="inlineStr">
        <is>
          <t>X</t>
        </is>
      </c>
      <c r="R176" s="28">
        <f>CONCATENATE("0x",LEFT(DEC2HEX(HEX2DEC(MID(Module_Address_Usage!$C$2,3,8))+HEX2DEC(MID($N$176,3,5))*4+0,8),4),"_",RIGHT(DEC2HEX(HEX2DEC(MID(Module_Address_Usage!$C$2,3,8))+HEX2DEC(MID($N$176,3,5))*4+0,8),4))</f>
        <v/>
      </c>
    </row>
    <row r="177" ht="20.1" customHeight="1">
      <c r="A177" s="24" t="n"/>
      <c r="B177" s="47" t="inlineStr">
        <is>
          <t>X</t>
        </is>
      </c>
      <c r="C177" s="24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24" t="n"/>
      <c r="M177" s="24" t="n"/>
      <c r="N177" s="24" t="n"/>
      <c r="O177" s="47">
        <f>CONCATENATE("0x",DEC2HEX(HEX2DEC(MID($N$176,3,5))*4+2,6))</f>
        <v/>
      </c>
      <c r="P177" s="47" t="inlineStr">
        <is>
          <t>-</t>
        </is>
      </c>
      <c r="Q177" s="47" t="inlineStr">
        <is>
          <t>X</t>
        </is>
      </c>
      <c r="R177" s="24" t="n"/>
    </row>
    <row r="178" ht="20.1" customHeight="1">
      <c r="A178" s="24" t="n"/>
      <c r="B178" s="47" t="inlineStr">
        <is>
          <t>X</t>
        </is>
      </c>
      <c r="C178" s="24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24" t="n"/>
      <c r="M178" s="24" t="n"/>
      <c r="N178" s="24" t="n"/>
      <c r="O178" s="47">
        <f>CONCATENATE("0x",DEC2HEX(HEX2DEC(MID($N$176,3,5))*4+1,6))</f>
        <v/>
      </c>
      <c r="P178" s="47" t="inlineStr">
        <is>
          <t>-</t>
        </is>
      </c>
      <c r="Q178" s="47" t="inlineStr">
        <is>
          <t>X</t>
        </is>
      </c>
      <c r="R178" s="24" t="n"/>
    </row>
    <row r="179" ht="20.1" customHeight="1">
      <c r="A179" s="25" t="n"/>
      <c r="B179" s="44" t="inlineStr">
        <is>
          <t>RW</t>
        </is>
      </c>
      <c r="C179" s="25" t="n"/>
      <c r="D179" s="19" t="n"/>
      <c r="E179" s="19" t="n"/>
      <c r="F179" s="19" t="n"/>
      <c r="G179" s="19" t="n"/>
      <c r="H179" s="19" t="n"/>
      <c r="I179" s="19" t="n"/>
      <c r="J179" s="19" t="n"/>
      <c r="K179" s="44" t="inlineStr">
        <is>
          <t>TX_WR_EN</t>
        </is>
      </c>
      <c r="L179" s="25" t="n"/>
      <c r="M179" s="25" t="n"/>
      <c r="N179" s="25" t="n"/>
      <c r="O179" s="44">
        <f>CONCATENATE("0x",DEC2HEX(HEX2DEC(MID($N$176,3,5))*4+0,6))</f>
        <v/>
      </c>
      <c r="P179" s="44" t="inlineStr">
        <is>
          <t>0x00</t>
        </is>
      </c>
      <c r="Q179" s="44" t="inlineStr">
        <is>
          <t>O</t>
        </is>
      </c>
      <c r="R179" s="25" t="n"/>
    </row>
    <row r="180" ht="20.1" customHeight="1">
      <c r="A180" s="28" t="inlineStr">
        <is>
          <t>0x00002</t>
        </is>
      </c>
      <c r="B180" s="49" t="inlineStr">
        <is>
          <t>RW</t>
        </is>
      </c>
      <c r="C180" s="28" t="inlineStr">
        <is>
          <t>TX_WR_ADDR</t>
        </is>
      </c>
      <c r="D180" s="49" t="inlineStr">
        <is>
          <t>TX_WR_ADDR[31:24]</t>
        </is>
      </c>
      <c r="E180" s="50" t="n"/>
      <c r="F180" s="50" t="n"/>
      <c r="G180" s="50" t="n"/>
      <c r="H180" s="50" t="n"/>
      <c r="I180" s="50" t="n"/>
      <c r="J180" s="50" t="n"/>
      <c r="K180" s="51" t="n"/>
      <c r="L180" s="23" t="inlineStr">
        <is>
          <t>TX_WR_ADDR[31:0]: software word index
Write while TX_WR_EN = 1 pushes TX_DATA</t>
        </is>
      </c>
      <c r="M180" s="23" t="inlineStr">
        <is>
          <t>SLVERR if FULL or CLR_BUSY = 1
Bookkeeping only: not the FIFO write pointer
TX_WR_EN = 0: OKAY, nothing pushed</t>
        </is>
      </c>
      <c r="N180" s="28">
        <f>CONCATENATE("0x",DEC2HEX(HEX2DEC(MID(Module_Address_Usage!$C$4,3,5))+HEX2DEC(MID($O$171,3,5))+HEX2DEC(MID($A180,3,5)),5))</f>
        <v/>
      </c>
      <c r="O180" s="49">
        <f>CONCATENATE("0x",DEC2HEX(HEX2DEC(MID($N$180,3,5))*4+3,6))</f>
        <v/>
      </c>
      <c r="P180" s="49" t="inlineStr">
        <is>
          <t>0x00</t>
        </is>
      </c>
      <c r="Q180" s="49" t="inlineStr">
        <is>
          <t>O</t>
        </is>
      </c>
      <c r="R180" s="28">
        <f>CONCATENATE("0x",LEFT(DEC2HEX(HEX2DEC(MID(Module_Address_Usage!$C$2,3,8))+HEX2DEC(MID($N$180,3,5))*4+0,8),4),"_",RIGHT(DEC2HEX(HEX2DEC(MID(Module_Address_Usage!$C$2,3,8))+HEX2DEC(MID($N$180,3,5))*4+0,8),4))</f>
        <v/>
      </c>
    </row>
    <row r="181" ht="20.1" customHeight="1">
      <c r="A181" s="24" t="n"/>
      <c r="B181" s="47" t="inlineStr">
        <is>
          <t>RW</t>
        </is>
      </c>
      <c r="C181" s="24" t="n"/>
      <c r="D181" s="47" t="inlineStr">
        <is>
          <t>TX_WR_ADDR[23:16]</t>
        </is>
      </c>
      <c r="E181" s="48" t="n"/>
      <c r="F181" s="48" t="n"/>
      <c r="G181" s="48" t="n"/>
      <c r="H181" s="48" t="n"/>
      <c r="I181" s="48" t="n"/>
      <c r="J181" s="48" t="n"/>
      <c r="K181" s="36" t="n"/>
      <c r="L181" s="24" t="n"/>
      <c r="M181" s="24" t="n"/>
      <c r="N181" s="24" t="n"/>
      <c r="O181" s="47">
        <f>CONCATENATE("0x",DEC2HEX(HEX2DEC(MID($N$180,3,5))*4+2,6))</f>
        <v/>
      </c>
      <c r="P181" s="47" t="inlineStr">
        <is>
          <t>0x00</t>
        </is>
      </c>
      <c r="Q181" s="47" t="inlineStr">
        <is>
          <t>O</t>
        </is>
      </c>
      <c r="R181" s="24" t="n"/>
    </row>
    <row r="182" ht="20.1" customHeight="1">
      <c r="A182" s="24" t="n"/>
      <c r="B182" s="47" t="inlineStr">
        <is>
          <t>RW</t>
        </is>
      </c>
      <c r="C182" s="24" t="n"/>
      <c r="D182" s="47" t="inlineStr">
        <is>
          <t>TX_WR_ADDR[15:8]</t>
        </is>
      </c>
      <c r="E182" s="48" t="n"/>
      <c r="F182" s="48" t="n"/>
      <c r="G182" s="48" t="n"/>
      <c r="H182" s="48" t="n"/>
      <c r="I182" s="48" t="n"/>
      <c r="J182" s="48" t="n"/>
      <c r="K182" s="36" t="n"/>
      <c r="L182" s="24" t="n"/>
      <c r="M182" s="24" t="n"/>
      <c r="N182" s="24" t="n"/>
      <c r="O182" s="47">
        <f>CONCATENATE("0x",DEC2HEX(HEX2DEC(MID($N$180,3,5))*4+1,6))</f>
        <v/>
      </c>
      <c r="P182" s="47" t="inlineStr">
        <is>
          <t>0x00</t>
        </is>
      </c>
      <c r="Q182" s="47" t="inlineStr">
        <is>
          <t>O</t>
        </is>
      </c>
      <c r="R182" s="24" t="n"/>
    </row>
    <row r="183" ht="20.1" customHeight="1">
      <c r="A183" s="25" t="n"/>
      <c r="B183" s="44" t="inlineStr">
        <is>
          <t>RW</t>
        </is>
      </c>
      <c r="C183" s="25" t="n"/>
      <c r="D183" s="44" t="inlineStr">
        <is>
          <t>TX_WR_ADDR[7:0]</t>
        </is>
      </c>
      <c r="E183" s="45" t="n"/>
      <c r="F183" s="45" t="n"/>
      <c r="G183" s="45" t="n"/>
      <c r="H183" s="45" t="n"/>
      <c r="I183" s="45" t="n"/>
      <c r="J183" s="45" t="n"/>
      <c r="K183" s="46" t="n"/>
      <c r="L183" s="25" t="n"/>
      <c r="M183" s="25" t="n"/>
      <c r="N183" s="25" t="n"/>
      <c r="O183" s="44">
        <f>CONCATENATE("0x",DEC2HEX(HEX2DEC(MID($N$180,3,5))*4+0,6))</f>
        <v/>
      </c>
      <c r="P183" s="44" t="inlineStr">
        <is>
          <t>0x00</t>
        </is>
      </c>
      <c r="Q183" s="44" t="inlineStr">
        <is>
          <t>O</t>
        </is>
      </c>
      <c r="R183" s="25" t="n"/>
    </row>
    <row r="184" ht="27" customHeight="1">
      <c r="A184" s="28" t="inlineStr">
        <is>
          <t>0x00003
~ 0x0000F</t>
        </is>
      </c>
      <c r="B184" s="28" t="inlineStr">
        <is>
          <t>X</t>
        </is>
      </c>
      <c r="C184" s="28" t="inlineStr">
        <is>
          <t>Reserved</t>
        </is>
      </c>
      <c r="D184" s="41" t="n"/>
      <c r="E184" s="42" t="n"/>
      <c r="F184" s="42" t="n"/>
      <c r="G184" s="42" t="n"/>
      <c r="H184" s="42" t="n"/>
      <c r="I184" s="42" t="n"/>
      <c r="J184" s="42" t="n"/>
      <c r="K184" s="43" t="n"/>
      <c r="L184" s="23" t="inlineStr">
        <is>
          <t>Reserved</t>
        </is>
      </c>
      <c r="M184" s="23" t="inlineStr">
        <is>
          <t>Write ignored, read returns 0x0000_0000</t>
        </is>
      </c>
      <c r="N184" s="28">
        <f>CONCATENATE("0x",DEC2HEX(HEX2DEC(MID(Module_Address_Usage!$C$4,3,5))+HEX2DEC(MID($O$171,3,5))+HEX2DEC(MID($A184,3,5)),5))&amp;CHAR(10)&amp;"~ "&amp;CONCATENATE("0x",DEC2HEX(HEX2DEC(MID(Module_Address_Usage!$C$4,3,5))+HEX2DEC(MID($O$171,3,5))+HEX2DEC(MID($A184,13,5)),5))</f>
        <v/>
      </c>
      <c r="O184" s="28">
        <f>CONCATENATE("0x",DEC2HEX(HEX2DEC(MID(CONCATENATE("0x",DEC2HEX(HEX2DEC(MID(Module_Address_Usage!$C$4,3,5))+HEX2DEC(MID($O$171,3,5))+HEX2DEC(MID($A184,3,5)),5)),3,5))*4+0,6))&amp;CHAR(10)&amp;"~ "&amp;CONCATENATE("0x",DEC2HEX(HEX2DEC(MID(CONCATENATE("0x",DEC2HEX(HEX2DEC(MID(Module_Address_Usage!$C$4,3,5))+HEX2DEC(MID($O$171,3,5))+HEX2DEC(MID($A184,13,5)),5)),3,5))*4+3,6))</f>
        <v/>
      </c>
      <c r="P184" s="28" t="inlineStr">
        <is>
          <t>-</t>
        </is>
      </c>
      <c r="Q184" s="28" t="inlineStr">
        <is>
          <t>X</t>
        </is>
      </c>
      <c r="R184" s="28">
        <f>CONCATENATE("0x",LEFT(DEC2HEX(HEX2DEC(MID(Module_Address_Usage!$C$2,3,8))+HEX2DEC(MID(CONCATENATE("0x",DEC2HEX(HEX2DEC(MID(Module_Address_Usage!$C$4,3,5))+HEX2DEC(MID($O$171,3,5))+HEX2DEC(MID($A184,3,5)),5)),3,5))*4+0,8),4),"_",RIGHT(DEC2HEX(HEX2DEC(MID(Module_Address_Usage!$C$2,3,8))+HEX2DEC(MID(CONCATENATE("0x",DEC2HEX(HEX2DEC(MID(Module_Address_Usage!$C$4,3,5))+HEX2DEC(MID($O$171,3,5))+HEX2DEC(MID($A184,3,5)),5)),3,5))*4+0,8),4))&amp;CHAR(10)&amp;"~ "&amp;CONCATENATE("0x",LEFT(DEC2HEX(HEX2DEC(MID(Module_Address_Usage!$C$2,3,8))+HEX2DEC(MID(CONCATENATE("0x",DEC2HEX(HEX2DEC(MID(Module_Address_Usage!$C$4,3,5))+HEX2DEC(MID($O$171,3,5))+HEX2DEC(MID($A184,13,5)),5)),3,5))*4+3,8),4),"_",RIGHT(DEC2HEX(HEX2DEC(MID(Module_Address_Usage!$C$2,3,8))+HEX2DEC(MID(CONCATENATE("0x",DEC2HEX(HEX2DEC(MID(Module_Address_Usage!$C$4,3,5))+HEX2DEC(MID($O$171,3,5))+HEX2DEC(MID($A184,13,5)),5)),3,5))*4+3,8),4))</f>
        <v/>
      </c>
    </row>
    <row r="185" ht="27" customHeight="1">
      <c r="A185" s="26" t="n"/>
      <c r="B185" s="26" t="n"/>
      <c r="C185" s="26" t="n"/>
      <c r="D185" s="26" t="inlineStr">
        <is>
          <t>RX Data Port</t>
        </is>
      </c>
      <c r="E185" s="48" t="n"/>
      <c r="F185" s="48" t="n"/>
      <c r="G185" s="48" t="n"/>
      <c r="H185" s="48" t="n"/>
      <c r="I185" s="48" t="n"/>
      <c r="J185" s="48" t="n"/>
      <c r="K185" s="36" t="n"/>
      <c r="L185" s="37" t="n"/>
      <c r="M185" s="26" t="n"/>
      <c r="N185" s="26" t="inlineStr">
        <is>
          <t>Base 
Address</t>
        </is>
      </c>
      <c r="O185" s="26" t="inlineStr">
        <is>
          <t>0x00050</t>
        </is>
      </c>
      <c r="P185" s="26" t="n"/>
      <c r="Q185" s="26" t="n"/>
      <c r="R185" s="26" t="n"/>
    </row>
    <row r="186" ht="20.1" customHeight="1">
      <c r="A186" s="28" t="inlineStr">
        <is>
          <t>0x00000</t>
        </is>
      </c>
      <c r="B186" s="49" t="inlineStr">
        <is>
          <t>X</t>
        </is>
      </c>
      <c r="C186" s="28" t="inlineStr">
        <is>
          <t>RX_RD_DATA</t>
        </is>
      </c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23" t="inlineStr">
        <is>
          <t>Read = one pop from the RX FIFO
RX_WORD[11:0]: ARINC word
ERR_FLAG: word has a bad bit</t>
        </is>
      </c>
      <c r="M186" s="23" t="inlineStr">
        <is>
          <t>SLVERR if EMPTY or CLR_BUSY = 1
Write returns SLVERR
RDATA = {19b0, ERR_FLAG, RX_WORD[11:0]}; ERR_FLAG = 0 when ERRCHK_ENB = 0
EMPTY / CLR_BUSY: RDATA = 0</t>
        </is>
      </c>
      <c r="N186" s="28">
        <f>CONCATENATE("0x",DEC2HEX(HEX2DEC(MID(Module_Address_Usage!$C$4,3,5))+HEX2DEC(MID($O$185,3,5))+HEX2DEC(MID($A186,3,5)),5))</f>
        <v/>
      </c>
      <c r="O186" s="49">
        <f>CONCATENATE("0x",DEC2HEX(HEX2DEC(MID($N$186,3,5))*4+3,6))</f>
        <v/>
      </c>
      <c r="P186" s="49" t="inlineStr">
        <is>
          <t>-</t>
        </is>
      </c>
      <c r="Q186" s="49" t="inlineStr">
        <is>
          <t>X</t>
        </is>
      </c>
      <c r="R186" s="28">
        <f>CONCATENATE("0x",LEFT(DEC2HEX(HEX2DEC(MID(Module_Address_Usage!$C$2,3,8))+HEX2DEC(MID($N$186,3,5))*4+0,8),4),"_",RIGHT(DEC2HEX(HEX2DEC(MID(Module_Address_Usage!$C$2,3,8))+HEX2DEC(MID($N$186,3,5))*4+0,8),4))</f>
        <v/>
      </c>
    </row>
    <row r="187" ht="20.1" customHeight="1">
      <c r="A187" s="24" t="n"/>
      <c r="B187" s="47" t="inlineStr">
        <is>
          <t>X</t>
        </is>
      </c>
      <c r="C187" s="24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24" t="n"/>
      <c r="M187" s="24" t="n"/>
      <c r="N187" s="24" t="n"/>
      <c r="O187" s="47">
        <f>CONCATENATE("0x",DEC2HEX(HEX2DEC(MID($N$186,3,5))*4+2,6))</f>
        <v/>
      </c>
      <c r="P187" s="47" t="inlineStr">
        <is>
          <t>-</t>
        </is>
      </c>
      <c r="Q187" s="47" t="inlineStr">
        <is>
          <t>X</t>
        </is>
      </c>
      <c r="R187" s="24" t="n"/>
    </row>
    <row r="188" ht="20.1" customHeight="1">
      <c r="A188" s="24" t="n"/>
      <c r="B188" s="47" t="inlineStr">
        <is>
          <t>RO</t>
        </is>
      </c>
      <c r="C188" s="24" t="n"/>
      <c r="D188" s="17" t="n"/>
      <c r="E188" s="17" t="n"/>
      <c r="F188" s="17" t="n"/>
      <c r="G188" s="47" t="inlineStr">
        <is>
          <t>ERR_FLAG</t>
        </is>
      </c>
      <c r="H188" s="47" t="inlineStr">
        <is>
          <t>RX_WORD[11:8]</t>
        </is>
      </c>
      <c r="I188" s="48" t="n"/>
      <c r="J188" s="48" t="n"/>
      <c r="K188" s="36" t="n"/>
      <c r="L188" s="24" t="n"/>
      <c r="M188" s="24" t="n"/>
      <c r="N188" s="24" t="n"/>
      <c r="O188" s="47">
        <f>CONCATENATE("0x",DEC2HEX(HEX2DEC(MID($N$186,3,5))*4+1,6))</f>
        <v/>
      </c>
      <c r="P188" s="47" t="inlineStr">
        <is>
          <t>-</t>
        </is>
      </c>
      <c r="Q188" s="47" t="inlineStr">
        <is>
          <t>O</t>
        </is>
      </c>
      <c r="R188" s="24" t="n"/>
    </row>
    <row r="189" ht="20.1" customHeight="1">
      <c r="A189" s="25" t="n"/>
      <c r="B189" s="44" t="inlineStr">
        <is>
          <t>RO</t>
        </is>
      </c>
      <c r="C189" s="25" t="n"/>
      <c r="D189" s="44" t="inlineStr">
        <is>
          <t>RX_WORD[7:0]</t>
        </is>
      </c>
      <c r="E189" s="45" t="n"/>
      <c r="F189" s="45" t="n"/>
      <c r="G189" s="45" t="n"/>
      <c r="H189" s="45" t="n"/>
      <c r="I189" s="45" t="n"/>
      <c r="J189" s="45" t="n"/>
      <c r="K189" s="46" t="n"/>
      <c r="L189" s="25" t="n"/>
      <c r="M189" s="25" t="n"/>
      <c r="N189" s="25" t="n"/>
      <c r="O189" s="44">
        <f>CONCATENATE("0x",DEC2HEX(HEX2DEC(MID($N$186,3,5))*4+0,6))</f>
        <v/>
      </c>
      <c r="P189" s="44" t="inlineStr">
        <is>
          <t>-</t>
        </is>
      </c>
      <c r="Q189" s="44" t="inlineStr">
        <is>
          <t>O</t>
        </is>
      </c>
      <c r="R189" s="25" t="n"/>
    </row>
    <row r="190" ht="20.1" customHeight="1">
      <c r="A190" s="28" t="inlineStr">
        <is>
          <t>0x00001</t>
        </is>
      </c>
      <c r="B190" s="49" t="inlineStr">
        <is>
          <t>X</t>
        </is>
      </c>
      <c r="C190" s="28" t="inlineStr">
        <is>
          <t>RX_RD_EN</t>
        </is>
      </c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23" t="inlineStr">
        <is>
          <t>RX_RD_EN: stored only, does not gate the pop</t>
        </is>
      </c>
      <c r="M190" s="23" t="inlineStr">
        <is>
          <t>0b0 / 0b1: stored value
Bits [31:1] reserved, read 0; optional, kept for symmetry with TX_WR_EN</t>
        </is>
      </c>
      <c r="N190" s="28">
        <f>CONCATENATE("0x",DEC2HEX(HEX2DEC(MID(Module_Address_Usage!$C$4,3,5))+HEX2DEC(MID($O$185,3,5))+HEX2DEC(MID($A190,3,5)),5))</f>
        <v/>
      </c>
      <c r="O190" s="49">
        <f>CONCATENATE("0x",DEC2HEX(HEX2DEC(MID($N$190,3,5))*4+3,6))</f>
        <v/>
      </c>
      <c r="P190" s="49" t="inlineStr">
        <is>
          <t>-</t>
        </is>
      </c>
      <c r="Q190" s="49" t="inlineStr">
        <is>
          <t>X</t>
        </is>
      </c>
      <c r="R190" s="28">
        <f>CONCATENATE("0x",LEFT(DEC2HEX(HEX2DEC(MID(Module_Address_Usage!$C$2,3,8))+HEX2DEC(MID($N$190,3,5))*4+0,8),4),"_",RIGHT(DEC2HEX(HEX2DEC(MID(Module_Address_Usage!$C$2,3,8))+HEX2DEC(MID($N$190,3,5))*4+0,8),4))</f>
        <v/>
      </c>
    </row>
    <row r="191" ht="20.1" customHeight="1">
      <c r="A191" s="24" t="n"/>
      <c r="B191" s="47" t="inlineStr">
        <is>
          <t>X</t>
        </is>
      </c>
      <c r="C191" s="24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24" t="n"/>
      <c r="M191" s="24" t="n"/>
      <c r="N191" s="24" t="n"/>
      <c r="O191" s="47">
        <f>CONCATENATE("0x",DEC2HEX(HEX2DEC(MID($N$190,3,5))*4+2,6))</f>
        <v/>
      </c>
      <c r="P191" s="47" t="inlineStr">
        <is>
          <t>-</t>
        </is>
      </c>
      <c r="Q191" s="47" t="inlineStr">
        <is>
          <t>X</t>
        </is>
      </c>
      <c r="R191" s="24" t="n"/>
    </row>
    <row r="192" ht="20.1" customHeight="1">
      <c r="A192" s="24" t="n"/>
      <c r="B192" s="47" t="inlineStr">
        <is>
          <t>X</t>
        </is>
      </c>
      <c r="C192" s="24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24" t="n"/>
      <c r="M192" s="24" t="n"/>
      <c r="N192" s="24" t="n"/>
      <c r="O192" s="47">
        <f>CONCATENATE("0x",DEC2HEX(HEX2DEC(MID($N$190,3,5))*4+1,6))</f>
        <v/>
      </c>
      <c r="P192" s="47" t="inlineStr">
        <is>
          <t>-</t>
        </is>
      </c>
      <c r="Q192" s="47" t="inlineStr">
        <is>
          <t>X</t>
        </is>
      </c>
      <c r="R192" s="24" t="n"/>
    </row>
    <row r="193" ht="20.1" customHeight="1">
      <c r="A193" s="25" t="n"/>
      <c r="B193" s="44" t="inlineStr">
        <is>
          <t>RW</t>
        </is>
      </c>
      <c r="C193" s="25" t="n"/>
      <c r="D193" s="19" t="n"/>
      <c r="E193" s="19" t="n"/>
      <c r="F193" s="19" t="n"/>
      <c r="G193" s="19" t="n"/>
      <c r="H193" s="19" t="n"/>
      <c r="I193" s="19" t="n"/>
      <c r="J193" s="19" t="n"/>
      <c r="K193" s="44" t="inlineStr">
        <is>
          <t>RX_RD_EN</t>
        </is>
      </c>
      <c r="L193" s="25" t="n"/>
      <c r="M193" s="25" t="n"/>
      <c r="N193" s="25" t="n"/>
      <c r="O193" s="44">
        <f>CONCATENATE("0x",DEC2HEX(HEX2DEC(MID($N$190,3,5))*4+0,6))</f>
        <v/>
      </c>
      <c r="P193" s="44" t="inlineStr">
        <is>
          <t>0x00</t>
        </is>
      </c>
      <c r="Q193" s="44" t="inlineStr">
        <is>
          <t>O</t>
        </is>
      </c>
      <c r="R193" s="25" t="n"/>
    </row>
    <row r="194" ht="20.1" customHeight="1">
      <c r="A194" s="28" t="inlineStr">
        <is>
          <t>0x00002</t>
        </is>
      </c>
      <c r="B194" s="49" t="inlineStr">
        <is>
          <t>RW</t>
        </is>
      </c>
      <c r="C194" s="28" t="inlineStr">
        <is>
          <t>RX_RD_ADDR</t>
        </is>
      </c>
      <c r="D194" s="49" t="inlineStr">
        <is>
          <t>RX_RD_ADDR[31:24]</t>
        </is>
      </c>
      <c r="E194" s="50" t="n"/>
      <c r="F194" s="50" t="n"/>
      <c r="G194" s="50" t="n"/>
      <c r="H194" s="50" t="n"/>
      <c r="I194" s="50" t="n"/>
      <c r="J194" s="50" t="n"/>
      <c r="K194" s="51" t="n"/>
      <c r="L194" s="23" t="inlineStr">
        <is>
          <t>RX_RD_ADDR[31:0]: software word index
(never pops the FIFO)</t>
        </is>
      </c>
      <c r="M194" s="23" t="inlineStr">
        <is>
          <t>Stored only
Bookkeeping only: not the FIFO read pointer</t>
        </is>
      </c>
      <c r="N194" s="28">
        <f>CONCATENATE("0x",DEC2HEX(HEX2DEC(MID(Module_Address_Usage!$C$4,3,5))+HEX2DEC(MID($O$185,3,5))+HEX2DEC(MID($A194,3,5)),5))</f>
        <v/>
      </c>
      <c r="O194" s="49">
        <f>CONCATENATE("0x",DEC2HEX(HEX2DEC(MID($N$194,3,5))*4+3,6))</f>
        <v/>
      </c>
      <c r="P194" s="49" t="inlineStr">
        <is>
          <t>0x00</t>
        </is>
      </c>
      <c r="Q194" s="49" t="inlineStr">
        <is>
          <t>O</t>
        </is>
      </c>
      <c r="R194" s="28">
        <f>CONCATENATE("0x",LEFT(DEC2HEX(HEX2DEC(MID(Module_Address_Usage!$C$2,3,8))+HEX2DEC(MID($N$194,3,5))*4+0,8),4),"_",RIGHT(DEC2HEX(HEX2DEC(MID(Module_Address_Usage!$C$2,3,8))+HEX2DEC(MID($N$194,3,5))*4+0,8),4))</f>
        <v/>
      </c>
    </row>
    <row r="195" ht="20.1" customHeight="1">
      <c r="A195" s="24" t="n"/>
      <c r="B195" s="47" t="inlineStr">
        <is>
          <t>RW</t>
        </is>
      </c>
      <c r="C195" s="24" t="n"/>
      <c r="D195" s="47" t="inlineStr">
        <is>
          <t>RX_RD_ADDR[23:16]</t>
        </is>
      </c>
      <c r="E195" s="48" t="n"/>
      <c r="F195" s="48" t="n"/>
      <c r="G195" s="48" t="n"/>
      <c r="H195" s="48" t="n"/>
      <c r="I195" s="48" t="n"/>
      <c r="J195" s="48" t="n"/>
      <c r="K195" s="36" t="n"/>
      <c r="L195" s="24" t="n"/>
      <c r="M195" s="24" t="n"/>
      <c r="N195" s="24" t="n"/>
      <c r="O195" s="47">
        <f>CONCATENATE("0x",DEC2HEX(HEX2DEC(MID($N$194,3,5))*4+2,6))</f>
        <v/>
      </c>
      <c r="P195" s="47" t="inlineStr">
        <is>
          <t>0x00</t>
        </is>
      </c>
      <c r="Q195" s="47" t="inlineStr">
        <is>
          <t>O</t>
        </is>
      </c>
      <c r="R195" s="24" t="n"/>
    </row>
    <row r="196" ht="20.1" customHeight="1">
      <c r="A196" s="24" t="n"/>
      <c r="B196" s="47" t="inlineStr">
        <is>
          <t>RW</t>
        </is>
      </c>
      <c r="C196" s="24" t="n"/>
      <c r="D196" s="47" t="inlineStr">
        <is>
          <t>RX_RD_ADDR[15:8]</t>
        </is>
      </c>
      <c r="E196" s="48" t="n"/>
      <c r="F196" s="48" t="n"/>
      <c r="G196" s="48" t="n"/>
      <c r="H196" s="48" t="n"/>
      <c r="I196" s="48" t="n"/>
      <c r="J196" s="48" t="n"/>
      <c r="K196" s="36" t="n"/>
      <c r="L196" s="24" t="n"/>
      <c r="M196" s="24" t="n"/>
      <c r="N196" s="24" t="n"/>
      <c r="O196" s="47">
        <f>CONCATENATE("0x",DEC2HEX(HEX2DEC(MID($N$194,3,5))*4+1,6))</f>
        <v/>
      </c>
      <c r="P196" s="47" t="inlineStr">
        <is>
          <t>0x00</t>
        </is>
      </c>
      <c r="Q196" s="47" t="inlineStr">
        <is>
          <t>O</t>
        </is>
      </c>
      <c r="R196" s="24" t="n"/>
    </row>
    <row r="197" ht="20.1" customHeight="1">
      <c r="A197" s="25" t="n"/>
      <c r="B197" s="44" t="inlineStr">
        <is>
          <t>RW</t>
        </is>
      </c>
      <c r="C197" s="25" t="n"/>
      <c r="D197" s="44" t="inlineStr">
        <is>
          <t>RX_RD_ADDR[7:0]</t>
        </is>
      </c>
      <c r="E197" s="45" t="n"/>
      <c r="F197" s="45" t="n"/>
      <c r="G197" s="45" t="n"/>
      <c r="H197" s="45" t="n"/>
      <c r="I197" s="45" t="n"/>
      <c r="J197" s="45" t="n"/>
      <c r="K197" s="46" t="n"/>
      <c r="L197" s="25" t="n"/>
      <c r="M197" s="25" t="n"/>
      <c r="N197" s="25" t="n"/>
      <c r="O197" s="44">
        <f>CONCATENATE("0x",DEC2HEX(HEX2DEC(MID($N$194,3,5))*4+0,6))</f>
        <v/>
      </c>
      <c r="P197" s="44" t="inlineStr">
        <is>
          <t>0x00</t>
        </is>
      </c>
      <c r="Q197" s="44" t="inlineStr">
        <is>
          <t>O</t>
        </is>
      </c>
      <c r="R197" s="25" t="n"/>
    </row>
    <row r="198" ht="27" customHeight="1">
      <c r="A198" s="28" t="inlineStr">
        <is>
          <t>0x00003
~ 0x000AF</t>
        </is>
      </c>
      <c r="B198" s="28" t="inlineStr">
        <is>
          <t>X</t>
        </is>
      </c>
      <c r="C198" s="28" t="inlineStr">
        <is>
          <t>Reserved</t>
        </is>
      </c>
      <c r="D198" s="41" t="n"/>
      <c r="E198" s="42" t="n"/>
      <c r="F198" s="42" t="n"/>
      <c r="G198" s="42" t="n"/>
      <c r="H198" s="42" t="n"/>
      <c r="I198" s="42" t="n"/>
      <c r="J198" s="42" t="n"/>
      <c r="K198" s="43" t="n"/>
      <c r="L198" s="23" t="inlineStr">
        <is>
          <t>Reserved</t>
        </is>
      </c>
      <c r="M198" s="23" t="inlineStr">
        <is>
          <t>Write ignored, read returns 0x0000_0000
(from byte 0x0150: response SLVERR)</t>
        </is>
      </c>
      <c r="N198" s="28">
        <f>CONCATENATE("0x",DEC2HEX(HEX2DEC(MID(Module_Address_Usage!$C$4,3,5))+HEX2DEC(MID($O$185,3,5))+HEX2DEC(MID($A198,3,5)),5))&amp;CHAR(10)&amp;"~ "&amp;CONCATENATE("0x",DEC2HEX(HEX2DEC(MID(Module_Address_Usage!$C$4,3,5))+HEX2DEC(MID($O$185,3,5))+HEX2DEC(MID($A198,13,5)),5))</f>
        <v/>
      </c>
      <c r="O198" s="28">
        <f>CONCATENATE("0x",DEC2HEX(HEX2DEC(MID(CONCATENATE("0x",DEC2HEX(HEX2DEC(MID(Module_Address_Usage!$C$4,3,5))+HEX2DEC(MID($O$185,3,5))+HEX2DEC(MID($A198,3,5)),5)),3,5))*4+0,6))&amp;CHAR(10)&amp;"~ "&amp;CONCATENATE("0x",DEC2HEX(HEX2DEC(MID(CONCATENATE("0x",DEC2HEX(HEX2DEC(MID(Module_Address_Usage!$C$4,3,5))+HEX2DEC(MID($O$185,3,5))+HEX2DEC(MID($A198,13,5)),5)),3,5))*4+3,6))</f>
        <v/>
      </c>
      <c r="P198" s="28" t="inlineStr">
        <is>
          <t>-</t>
        </is>
      </c>
      <c r="Q198" s="28" t="inlineStr">
        <is>
          <t>X</t>
        </is>
      </c>
      <c r="R198" s="28">
        <f>CONCATENATE("0x",LEFT(DEC2HEX(HEX2DEC(MID(Module_Address_Usage!$C$2,3,8))+HEX2DEC(MID(CONCATENATE("0x",DEC2HEX(HEX2DEC(MID(Module_Address_Usage!$C$4,3,5))+HEX2DEC(MID($O$185,3,5))+HEX2DEC(MID($A198,3,5)),5)),3,5))*4+0,8),4),"_",RIGHT(DEC2HEX(HEX2DEC(MID(Module_Address_Usage!$C$2,3,8))+HEX2DEC(MID(CONCATENATE("0x",DEC2HEX(HEX2DEC(MID(Module_Address_Usage!$C$4,3,5))+HEX2DEC(MID($O$185,3,5))+HEX2DEC(MID($A198,3,5)),5)),3,5))*4+0,8),4))&amp;CHAR(10)&amp;"~ "&amp;CONCATENATE("0x",LEFT(DEC2HEX(HEX2DEC(MID(Module_Address_Usage!$C$2,3,8))+HEX2DEC(MID(CONCATENATE("0x",DEC2HEX(HEX2DEC(MID(Module_Address_Usage!$C$4,3,5))+HEX2DEC(MID($O$185,3,5))+HEX2DEC(MID($A198,13,5)),5)),3,5))*4+3,8),4),"_",RIGHT(DEC2HEX(HEX2DEC(MID(Module_Address_Usage!$C$2,3,8))+HEX2DEC(MID(CONCATENATE("0x",DEC2HEX(HEX2DEC(MID(Module_Address_Usage!$C$4,3,5))+HEX2DEC(MID($O$185,3,5))+HEX2DEC(MID($A198,13,5)),5)),3,5))*4+3,8),4))</f>
        <v/>
      </c>
    </row>
  </sheetData>
  <mergeCells count="374">
    <mergeCell ref="D182:K182"/>
    <mergeCell ref="C154:C157"/>
    <mergeCell ref="D144:K144"/>
    <mergeCell ref="D119:K119"/>
    <mergeCell ref="A162:A165"/>
    <mergeCell ref="M186:M189"/>
    <mergeCell ref="C162:C165"/>
    <mergeCell ref="L190:L193"/>
    <mergeCell ref="M1:M4"/>
    <mergeCell ref="N37:N40"/>
    <mergeCell ref="D183:K183"/>
    <mergeCell ref="R124:R127"/>
    <mergeCell ref="D185:K185"/>
    <mergeCell ref="A37:A40"/>
    <mergeCell ref="L14:L17"/>
    <mergeCell ref="N14:N17"/>
    <mergeCell ref="A18:A21"/>
    <mergeCell ref="A53:A56"/>
    <mergeCell ref="R134:R137"/>
    <mergeCell ref="C57:C60"/>
    <mergeCell ref="A22:A25"/>
    <mergeCell ref="N142:N145"/>
    <mergeCell ref="N80:N83"/>
    <mergeCell ref="D68:K68"/>
    <mergeCell ref="M146:M149"/>
    <mergeCell ref="L96:L99"/>
    <mergeCell ref="D67:K67"/>
    <mergeCell ref="D69:K69"/>
    <mergeCell ref="E110:K110"/>
    <mergeCell ref="N104:N107"/>
    <mergeCell ref="O5:O8"/>
    <mergeCell ref="Q5:Q8"/>
    <mergeCell ref="M88:M91"/>
    <mergeCell ref="C112:C115"/>
    <mergeCell ref="H165:K165"/>
    <mergeCell ref="C176:C179"/>
    <mergeCell ref="C70:C73"/>
    <mergeCell ref="N28:N31"/>
    <mergeCell ref="M154:M157"/>
    <mergeCell ref="M194:M197"/>
    <mergeCell ref="L84:L87"/>
    <mergeCell ref="R190:R193"/>
    <mergeCell ref="L22:L25"/>
    <mergeCell ref="N84:N87"/>
    <mergeCell ref="D64:K64"/>
    <mergeCell ref="R61:R64"/>
    <mergeCell ref="A130:A133"/>
    <mergeCell ref="L150:L153"/>
    <mergeCell ref="N150:N153"/>
    <mergeCell ref="D138:K138"/>
    <mergeCell ref="M49:M52"/>
    <mergeCell ref="R10:R13"/>
    <mergeCell ref="D140:K140"/>
    <mergeCell ref="M84:M87"/>
    <mergeCell ref="L112:L115"/>
    <mergeCell ref="R74:R77"/>
    <mergeCell ref="M22:M25"/>
    <mergeCell ref="D11:K11"/>
    <mergeCell ref="D153:G153"/>
    <mergeCell ref="N112:N115"/>
    <mergeCell ref="D198:K198"/>
    <mergeCell ref="B1:B4"/>
    <mergeCell ref="D141:K141"/>
    <mergeCell ref="D5:K8"/>
    <mergeCell ref="M80:M83"/>
    <mergeCell ref="N176:N179"/>
    <mergeCell ref="L41:L44"/>
    <mergeCell ref="A14:A17"/>
    <mergeCell ref="N172:N175"/>
    <mergeCell ref="L49:L52"/>
    <mergeCell ref="N49:N52"/>
    <mergeCell ref="A28:A31"/>
    <mergeCell ref="M162:M165"/>
    <mergeCell ref="R92:R95"/>
    <mergeCell ref="A186:A189"/>
    <mergeCell ref="C186:C189"/>
    <mergeCell ref="H174:K174"/>
    <mergeCell ref="P5:P8"/>
    <mergeCell ref="R5:R8"/>
    <mergeCell ref="D26:K26"/>
    <mergeCell ref="A138:A141"/>
    <mergeCell ref="C10:C13"/>
    <mergeCell ref="M10:M13"/>
    <mergeCell ref="D65:K65"/>
    <mergeCell ref="N100:N103"/>
    <mergeCell ref="C104:C107"/>
    <mergeCell ref="H30:K30"/>
    <mergeCell ref="D151:H151"/>
    <mergeCell ref="A41:A44"/>
    <mergeCell ref="N194:N197"/>
    <mergeCell ref="R158:R161"/>
    <mergeCell ref="N166:N169"/>
    <mergeCell ref="D12:K12"/>
    <mergeCell ref="C28:C31"/>
    <mergeCell ref="D9:K9"/>
    <mergeCell ref="M150:M153"/>
    <mergeCell ref="R18:R21"/>
    <mergeCell ref="D143:K143"/>
    <mergeCell ref="L57:L60"/>
    <mergeCell ref="R146:R149"/>
    <mergeCell ref="A61:A64"/>
    <mergeCell ref="A88:A91"/>
    <mergeCell ref="N1:R2"/>
    <mergeCell ref="C92:C95"/>
    <mergeCell ref="A1:A4"/>
    <mergeCell ref="M176:M179"/>
    <mergeCell ref="A146:A149"/>
    <mergeCell ref="M70:M73"/>
    <mergeCell ref="N3:O3"/>
    <mergeCell ref="C146:C149"/>
    <mergeCell ref="H126:K126"/>
    <mergeCell ref="H82:K82"/>
    <mergeCell ref="R108:R111"/>
    <mergeCell ref="D27:K27"/>
    <mergeCell ref="H55:K55"/>
    <mergeCell ref="J86:K86"/>
    <mergeCell ref="D149:G149"/>
    <mergeCell ref="D162:K162"/>
    <mergeCell ref="L162:L165"/>
    <mergeCell ref="M100:M103"/>
    <mergeCell ref="L70:L73"/>
    <mergeCell ref="Q3:Q4"/>
    <mergeCell ref="N70:N73"/>
    <mergeCell ref="L32:L35"/>
    <mergeCell ref="A49:A52"/>
    <mergeCell ref="N32:N35"/>
    <mergeCell ref="C49:C52"/>
    <mergeCell ref="I151:J151"/>
    <mergeCell ref="L146:L149"/>
    <mergeCell ref="R162:R165"/>
    <mergeCell ref="R154:R157"/>
    <mergeCell ref="D163:H163"/>
    <mergeCell ref="D150:K150"/>
    <mergeCell ref="H63:K63"/>
    <mergeCell ref="A154:A157"/>
    <mergeCell ref="R22:R25"/>
    <mergeCell ref="A104:A107"/>
    <mergeCell ref="N116:N119"/>
    <mergeCell ref="C120:C123"/>
    <mergeCell ref="M120:M123"/>
    <mergeCell ref="R116:R119"/>
    <mergeCell ref="L124:L127"/>
    <mergeCell ref="M57:M60"/>
    <mergeCell ref="R53:R56"/>
    <mergeCell ref="R180:R183"/>
    <mergeCell ref="D164:K164"/>
    <mergeCell ref="D165:G165"/>
    <mergeCell ref="L134:L137"/>
    <mergeCell ref="N134:N137"/>
    <mergeCell ref="L186:L189"/>
    <mergeCell ref="D36:K36"/>
    <mergeCell ref="A84:A87"/>
    <mergeCell ref="C100:C103"/>
    <mergeCell ref="R37:R40"/>
    <mergeCell ref="C142:C145"/>
    <mergeCell ref="A80:A83"/>
    <mergeCell ref="C80:C83"/>
    <mergeCell ref="H122:K122"/>
    <mergeCell ref="M28:M31"/>
    <mergeCell ref="L10:L13"/>
    <mergeCell ref="D175:K175"/>
    <mergeCell ref="R104:R107"/>
    <mergeCell ref="L104:L107"/>
    <mergeCell ref="P3:P4"/>
    <mergeCell ref="R66:R69"/>
    <mergeCell ref="R3:R4"/>
    <mergeCell ref="M32:M35"/>
    <mergeCell ref="C32:C35"/>
    <mergeCell ref="M134:M137"/>
    <mergeCell ref="D56:K56"/>
    <mergeCell ref="D127:K127"/>
    <mergeCell ref="M96:M99"/>
    <mergeCell ref="N124:N127"/>
    <mergeCell ref="A176:A179"/>
    <mergeCell ref="A70:A73"/>
    <mergeCell ref="I163:J163"/>
    <mergeCell ref="A172:A175"/>
    <mergeCell ref="C172:C175"/>
    <mergeCell ref="N61:N64"/>
    <mergeCell ref="L142:L145"/>
    <mergeCell ref="M124:M127"/>
    <mergeCell ref="R41:R44"/>
    <mergeCell ref="D171:K171"/>
    <mergeCell ref="D181:K181"/>
    <mergeCell ref="N10:N13"/>
    <mergeCell ref="C150:C153"/>
    <mergeCell ref="A112:A115"/>
    <mergeCell ref="D196:K196"/>
    <mergeCell ref="N74:N77"/>
    <mergeCell ref="D133:K133"/>
    <mergeCell ref="R130:R133"/>
    <mergeCell ref="C53:C56"/>
    <mergeCell ref="C158:C161"/>
    <mergeCell ref="N138:N141"/>
    <mergeCell ref="M142:M145"/>
    <mergeCell ref="R138:R141"/>
    <mergeCell ref="A166:A169"/>
    <mergeCell ref="D128:K128"/>
    <mergeCell ref="L28:L31"/>
    <mergeCell ref="L92:L95"/>
    <mergeCell ref="N92:N95"/>
    <mergeCell ref="D194:K194"/>
    <mergeCell ref="H118:K118"/>
    <mergeCell ref="A100:A103"/>
    <mergeCell ref="D146:K146"/>
    <mergeCell ref="A10:A13"/>
    <mergeCell ref="C66:C69"/>
    <mergeCell ref="L158:L161"/>
    <mergeCell ref="D123:K123"/>
    <mergeCell ref="R120:R123"/>
    <mergeCell ref="R186:R189"/>
    <mergeCell ref="M190:M193"/>
    <mergeCell ref="N158:N161"/>
    <mergeCell ref="L194:L197"/>
    <mergeCell ref="L120:L123"/>
    <mergeCell ref="M5:M8"/>
    <mergeCell ref="C5:C8"/>
    <mergeCell ref="D60:K60"/>
    <mergeCell ref="R57:R60"/>
    <mergeCell ref="L18:L21"/>
    <mergeCell ref="N18:N21"/>
    <mergeCell ref="D70:K70"/>
    <mergeCell ref="A32:A35"/>
    <mergeCell ref="N190:N193"/>
    <mergeCell ref="M158:M161"/>
    <mergeCell ref="A194:A197"/>
    <mergeCell ref="M74:M77"/>
    <mergeCell ref="D78:K78"/>
    <mergeCell ref="L100:L103"/>
    <mergeCell ref="D71:K71"/>
    <mergeCell ref="A57:A60"/>
    <mergeCell ref="D73:K73"/>
    <mergeCell ref="L108:L111"/>
    <mergeCell ref="N108:N111"/>
    <mergeCell ref="N45:N48"/>
    <mergeCell ref="C74:C77"/>
    <mergeCell ref="C166:C169"/>
    <mergeCell ref="M92:M95"/>
    <mergeCell ref="R88:R91"/>
    <mergeCell ref="C116:C119"/>
    <mergeCell ref="C180:C183"/>
    <mergeCell ref="D13:K13"/>
    <mergeCell ref="R194:R197"/>
    <mergeCell ref="L172:L175"/>
    <mergeCell ref="D147:H147"/>
    <mergeCell ref="A134:A137"/>
    <mergeCell ref="H188:K188"/>
    <mergeCell ref="C194:C197"/>
    <mergeCell ref="N162:N165"/>
    <mergeCell ref="B5:B8"/>
    <mergeCell ref="D129:K129"/>
    <mergeCell ref="C37:C40"/>
    <mergeCell ref="D79:K79"/>
    <mergeCell ref="R14:R17"/>
    <mergeCell ref="C18:C21"/>
    <mergeCell ref="N22:N25"/>
    <mergeCell ref="D10:K10"/>
    <mergeCell ref="L116:L119"/>
    <mergeCell ref="C1:C4"/>
    <mergeCell ref="L53:L56"/>
    <mergeCell ref="N53:N56"/>
    <mergeCell ref="R142:R145"/>
    <mergeCell ref="L180:L183"/>
    <mergeCell ref="D139:K139"/>
    <mergeCell ref="N180:N183"/>
    <mergeCell ref="R80:R83"/>
    <mergeCell ref="N96:N99"/>
    <mergeCell ref="A124:A127"/>
    <mergeCell ref="C124:C127"/>
    <mergeCell ref="H114:K114"/>
    <mergeCell ref="M108:M111"/>
    <mergeCell ref="M166:M169"/>
    <mergeCell ref="N186:N189"/>
    <mergeCell ref="A190:A193"/>
    <mergeCell ref="H51:K51"/>
    <mergeCell ref="M45:M48"/>
    <mergeCell ref="C190:C193"/>
    <mergeCell ref="D152:K152"/>
    <mergeCell ref="A142:A145"/>
    <mergeCell ref="C14:C17"/>
    <mergeCell ref="L66:L69"/>
    <mergeCell ref="R28:R31"/>
    <mergeCell ref="C108:C111"/>
    <mergeCell ref="N66:N69"/>
    <mergeCell ref="A45:A48"/>
    <mergeCell ref="C45:C48"/>
    <mergeCell ref="C88:C91"/>
    <mergeCell ref="R84:R87"/>
    <mergeCell ref="E87:F87"/>
    <mergeCell ref="A74:A77"/>
    <mergeCell ref="D170:K170"/>
    <mergeCell ref="I147:J147"/>
    <mergeCell ref="D145:K145"/>
    <mergeCell ref="R150:R153"/>
    <mergeCell ref="M18:M21"/>
    <mergeCell ref="M104:M107"/>
    <mergeCell ref="H59:K59"/>
    <mergeCell ref="A150:A153"/>
    <mergeCell ref="L61:L64"/>
    <mergeCell ref="R112:R115"/>
    <mergeCell ref="M116:M119"/>
    <mergeCell ref="A92:A95"/>
    <mergeCell ref="H153:K153"/>
    <mergeCell ref="D111:I111"/>
    <mergeCell ref="M53:M56"/>
    <mergeCell ref="R176:R179"/>
    <mergeCell ref="N41:N44"/>
    <mergeCell ref="M180:M183"/>
    <mergeCell ref="R172:R175"/>
    <mergeCell ref="C84:C87"/>
    <mergeCell ref="C22:C25"/>
    <mergeCell ref="R49:R52"/>
    <mergeCell ref="L74:L77"/>
    <mergeCell ref="L130:L133"/>
    <mergeCell ref="N130:N133"/>
    <mergeCell ref="L166:L169"/>
    <mergeCell ref="C134:C137"/>
    <mergeCell ref="L138:L141"/>
    <mergeCell ref="L5:L8"/>
    <mergeCell ref="N5:N8"/>
    <mergeCell ref="A120:A123"/>
    <mergeCell ref="D72:K72"/>
    <mergeCell ref="M37:M40"/>
    <mergeCell ref="C138:C141"/>
    <mergeCell ref="D184:K184"/>
    <mergeCell ref="M66:M69"/>
    <mergeCell ref="M112:M115"/>
    <mergeCell ref="M130:M133"/>
    <mergeCell ref="D148:K148"/>
    <mergeCell ref="D115:K115"/>
    <mergeCell ref="J111:K111"/>
    <mergeCell ref="R166:R169"/>
    <mergeCell ref="M172:M175"/>
    <mergeCell ref="A66:A69"/>
    <mergeCell ref="A158:A161"/>
    <mergeCell ref="A108:A111"/>
    <mergeCell ref="N120:N123"/>
    <mergeCell ref="N57:N60"/>
    <mergeCell ref="M61:M64"/>
    <mergeCell ref="C61:C64"/>
    <mergeCell ref="R100:R103"/>
    <mergeCell ref="D180:K180"/>
    <mergeCell ref="M14:M17"/>
    <mergeCell ref="M41:M44"/>
    <mergeCell ref="D169:K169"/>
    <mergeCell ref="L154:L157"/>
    <mergeCell ref="H149:K149"/>
    <mergeCell ref="C41:C44"/>
    <mergeCell ref="M138:M141"/>
    <mergeCell ref="D52:K52"/>
    <mergeCell ref="L37:L40"/>
    <mergeCell ref="D195:K195"/>
    <mergeCell ref="R70:R73"/>
    <mergeCell ref="D189:K189"/>
    <mergeCell ref="R45:R48"/>
    <mergeCell ref="L45:L48"/>
    <mergeCell ref="D66:K66"/>
    <mergeCell ref="R32:R35"/>
    <mergeCell ref="D197:K197"/>
    <mergeCell ref="L88:L91"/>
    <mergeCell ref="C130:C133"/>
    <mergeCell ref="N88:N91"/>
    <mergeCell ref="L1:L4"/>
    <mergeCell ref="R96:R99"/>
    <mergeCell ref="A116:A119"/>
    <mergeCell ref="A5:A8"/>
    <mergeCell ref="N146:N149"/>
    <mergeCell ref="L176:L179"/>
    <mergeCell ref="A180:A183"/>
    <mergeCell ref="A96:A99"/>
    <mergeCell ref="C96:C99"/>
    <mergeCell ref="N154:N157"/>
    <mergeCell ref="L80:L83"/>
    <mergeCell ref="D142:K1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2026-10-24T13:13:39Z</dcterms:created>
  <dcterms:modified xmlns:dcterms="http://purl.org/dc/terms/" xmlns:xsi="http://www.w3.org/2001/XMLSchema-instance" xsi:type="dcterms:W3CDTF">2026-10-26T04:44:48Z</dcterms:modified>
  <cp:lastModifiedBy>Bình Nguyễn Đức</cp:lastModifiedBy>
</cp:coreProperties>
</file>